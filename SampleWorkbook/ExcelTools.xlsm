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3095" windowHeight="7365"/>
  </bookViews>
  <sheets>
    <sheet name="GUI" sheetId="3" r:id="rId1"/>
    <sheet name="SourceData" sheetId="1" r:id="rId2"/>
    <sheet name="ParsedDataForColC" sheetId="18" r:id="rId3"/>
    <sheet name="ParsedDataFinal" sheetId="19" r:id="rId4"/>
    <sheet name="SQL Example" sheetId="20" r:id="rId5"/>
    <sheet name="Range Function Sample" sheetId="21" r:id="rId6"/>
    <sheet name="SQLLookupSource" sheetId="22" r:id="rId7"/>
    <sheet name="SQLLookupExample" sheetId="23" r:id="rId8"/>
    <sheet name="SimpleLookupExample" sheetId="24" r:id="rId9"/>
    <sheet name="SampleColumnInsert" sheetId="25" r:id="rId10"/>
  </sheets>
  <functionGroups builtInGroupCount="17"/>
  <definedNames>
    <definedName name="_xlnm._FilterDatabase" localSheetId="5" hidden="1">'Range Function Sample'!$A$1:$F$7</definedName>
    <definedName name="_xlnm._FilterDatabase" localSheetId="4" hidden="1">'SQL Example'!$A$1:$E$7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25" l="1"/>
  <c r="D6" i="25"/>
  <c r="C13" i="25"/>
  <c r="C5" i="25"/>
  <c r="D13" i="25"/>
  <c r="D5" i="25"/>
  <c r="C12" i="25"/>
  <c r="C4" i="25"/>
  <c r="D12" i="25"/>
  <c r="D4" i="25"/>
  <c r="C11" i="25"/>
  <c r="C3" i="25"/>
  <c r="D11" i="25"/>
  <c r="D3" i="25"/>
  <c r="C10" i="25"/>
  <c r="C2" i="25"/>
  <c r="D10" i="25"/>
  <c r="D2" i="25"/>
  <c r="C9" i="25"/>
  <c r="D9" i="25"/>
  <c r="C8" i="25"/>
  <c r="D8" i="25"/>
  <c r="C15" i="25"/>
  <c r="C7" i="25"/>
  <c r="D15" i="25"/>
  <c r="D7" i="25"/>
  <c r="C14" i="25"/>
  <c r="C6" i="25"/>
  <c r="C7" i="24"/>
  <c r="C4" i="24"/>
  <c r="C5" i="24"/>
  <c r="C3" i="24"/>
  <c r="C6" i="24"/>
  <c r="C2" i="24"/>
  <c r="B7" i="24"/>
  <c r="B6" i="24"/>
  <c r="B5" i="24"/>
  <c r="B4" i="24"/>
  <c r="B3" i="24"/>
  <c r="B2" i="24"/>
  <c r="C7" i="23"/>
  <c r="C6" i="23"/>
  <c r="C5" i="23"/>
  <c r="C4" i="23"/>
  <c r="C3" i="23"/>
  <c r="C2" i="23"/>
  <c r="B7" i="23"/>
  <c r="B6" i="23"/>
  <c r="B5" i="23"/>
  <c r="B4" i="23"/>
  <c r="B3" i="23"/>
  <c r="B2" i="23"/>
  <c r="E10" i="21"/>
  <c r="E9" i="20"/>
  <c r="F7" i="21"/>
  <c r="F4" i="21"/>
  <c r="F3" i="21"/>
  <c r="F2" i="21"/>
  <c r="E9" i="21"/>
  <c r="F6" i="21"/>
  <c r="E10" i="20"/>
  <c r="F5" i="21"/>
</calcChain>
</file>

<file path=xl/sharedStrings.xml><?xml version="1.0" encoding="utf-8"?>
<sst xmlns="http://schemas.openxmlformats.org/spreadsheetml/2006/main" count="844" uniqueCount="661">
  <si>
    <t>a</t>
  </si>
  <si>
    <t>b</t>
  </si>
  <si>
    <t>Col1</t>
  </si>
  <si>
    <t>Col2</t>
  </si>
  <si>
    <t>Col3</t>
  </si>
  <si>
    <t>Col4</t>
  </si>
  <si>
    <t>c</t>
  </si>
  <si>
    <t>d</t>
  </si>
  <si>
    <t>e</t>
  </si>
  <si>
    <t>a1</t>
  </si>
  <si>
    <t>a2</t>
  </si>
  <si>
    <t>a3</t>
  </si>
  <si>
    <t>a4</t>
  </si>
  <si>
    <t>a5</t>
  </si>
  <si>
    <t>11,22</t>
  </si>
  <si>
    <t>1,2,3</t>
  </si>
  <si>
    <t>f</t>
  </si>
  <si>
    <t>a6</t>
  </si>
  <si>
    <t>8,,9</t>
  </si>
  <si>
    <t>Col5</t>
  </si>
  <si>
    <t>aa,bb</t>
  </si>
  <si>
    <t>aa</t>
  </si>
  <si>
    <t>cc</t>
  </si>
  <si>
    <t>ee,ff,gg</t>
  </si>
  <si>
    <t>x</t>
  </si>
  <si>
    <t>bb</t>
  </si>
  <si>
    <t>ee</t>
  </si>
  <si>
    <t>ff</t>
  </si>
  <si>
    <t>gg</t>
  </si>
  <si>
    <t>Distinct Count:</t>
  </si>
  <si>
    <t>Count = CC</t>
  </si>
  <si>
    <t>xx</t>
  </si>
  <si>
    <t>Distinct Count Col 3</t>
  </si>
  <si>
    <t>Frequency of CC</t>
  </si>
  <si>
    <t>Frequency of Col5</t>
  </si>
  <si>
    <t>ZIP</t>
  </si>
  <si>
    <t>LAT</t>
  </si>
  <si>
    <t>LNG</t>
  </si>
  <si>
    <t>00601</t>
  </si>
  <si>
    <t>00602</t>
  </si>
  <si>
    <t>00603</t>
  </si>
  <si>
    <t>00606</t>
  </si>
  <si>
    <t>00610</t>
  </si>
  <si>
    <t>00612</t>
  </si>
  <si>
    <t>00616</t>
  </si>
  <si>
    <t>00617</t>
  </si>
  <si>
    <t>00622</t>
  </si>
  <si>
    <t>00623</t>
  </si>
  <si>
    <t>00624</t>
  </si>
  <si>
    <t>00627</t>
  </si>
  <si>
    <t>00631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</si>
  <si>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</si>
  <si>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</si>
  <si>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</si>
  <si>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</si>
  <si>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</si>
  <si>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</si>
  <si>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</si>
  <si>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</si>
  <si>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</si>
  <si>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</si>
  <si>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</si>
  <si>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</si>
  <si>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</si>
  <si>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</si>
  <si>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</si>
  <si>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</si>
  <si>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</si>
  <si>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</si>
  <si>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</si>
  <si>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</si>
  <si>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</si>
  <si>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</si>
  <si>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</si>
  <si>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</si>
  <si>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</si>
  <si>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</si>
  <si>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</si>
  <si>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</si>
  <si>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</si>
  <si>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</si>
  <si>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</si>
  <si>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</si>
  <si>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</si>
  <si>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</si>
  <si>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</si>
  <si>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</si>
  <si>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</si>
  <si>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</si>
  <si>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</si>
  <si>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</si>
  <si>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</si>
  <si>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</si>
  <si>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00723</t>
  </si>
  <si>
    <t>00725</t>
  </si>
  <si>
    <t>00727</t>
  </si>
  <si>
    <t>00728</t>
  </si>
  <si>
    <t>00729</t>
  </si>
  <si>
    <t>00730</t>
  </si>
  <si>
    <t>00731</t>
  </si>
  <si>
    <t>00735</t>
  </si>
  <si>
    <t>00736</t>
  </si>
  <si>
    <t>00738</t>
  </si>
  <si>
    <t>00739</t>
  </si>
  <si>
    <t>00740</t>
  </si>
  <si>
    <t>00741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</si>
  <si>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</si>
  <si>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</si>
  <si>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</si>
  <si>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</si>
  <si>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</si>
  <si>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</si>
  <si>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</si>
  <si>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</si>
  <si>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</si>
  <si>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</si>
  <si>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</si>
  <si>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</si>
  <si>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</si>
  <si>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</si>
  <si>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</si>
  <si>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</si>
  <si>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</si>
  <si>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</si>
  <si>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00786</t>
  </si>
  <si>
    <t>00791</t>
  </si>
  <si>
    <t>00794</t>
  </si>
  <si>
    <t>00795</t>
  </si>
  <si>
    <t>00801</t>
  </si>
  <si>
    <t>00802</t>
  </si>
  <si>
    <t>00820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</si>
  <si>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</si>
  <si>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</si>
  <si>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</si>
  <si>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</si>
  <si>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</si>
  <si>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</si>
  <si>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</si>
  <si>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</si>
  <si>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</si>
  <si>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00906</t>
  </si>
  <si>
    <t>00907</t>
  </si>
  <si>
    <t>00909</t>
  </si>
  <si>
    <t>00911</t>
  </si>
  <si>
    <t>00912</t>
  </si>
  <si>
    <t>00913</t>
  </si>
  <si>
    <t>00915</t>
  </si>
  <si>
    <t>00917</t>
  </si>
  <si>
    <t>00918</t>
  </si>
  <si>
    <t>00920</t>
  </si>
  <si>
    <t>00921</t>
  </si>
  <si>
    <t>00923</t>
  </si>
  <si>
    <t>00924</t>
  </si>
  <si>
    <t>00925</t>
  </si>
  <si>
    <t>00926</t>
  </si>
  <si>
    <t>00927</t>
  </si>
  <si>
    <t>00934</t>
  </si>
  <si>
    <t>00936</t>
  </si>
  <si>
    <t>00949</t>
  </si>
  <si>
    <t>00950</t>
  </si>
  <si>
    <t>00951</t>
  </si>
  <si>
    <t>00952</t>
  </si>
  <si>
    <t>00953</t>
  </si>
  <si>
    <t>00956</t>
  </si>
  <si>
    <t>00957</t>
  </si>
  <si>
    <t>00959</t>
  </si>
  <si>
    <t>00960</t>
  </si>
  <si>
    <t>00961</t>
  </si>
  <si>
    <t>00962</t>
  </si>
  <si>
    <t>00965</t>
  </si>
  <si>
    <t>00966</t>
  </si>
  <si>
    <t>00968</t>
  </si>
  <si>
    <t>00969</t>
  </si>
  <si>
    <t>00971</t>
  </si>
  <si>
    <t>00976</t>
  </si>
  <si>
    <t>00979</t>
  </si>
  <si>
    <t>00982</t>
  </si>
  <si>
    <t>00983</t>
  </si>
  <si>
    <t>00985</t>
  </si>
  <si>
    <t>00987</t>
  </si>
  <si>
    <t>01001</t>
  </si>
  <si>
    <t>01002</t>
  </si>
  <si>
    <t>01003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</si>
  <si>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</si>
  <si>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</si>
  <si>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</si>
  <si>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</si>
  <si>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</si>
  <si>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</si>
  <si>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</si>
  <si>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</si>
  <si>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01020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</si>
  <si>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</si>
  <si>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</si>
  <si>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</si>
  <si>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</si>
  <si>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</si>
  <si>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</si>
  <si>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</si>
  <si>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</si>
  <si>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</si>
  <si>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</si>
  <si>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</si>
  <si>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</si>
  <si>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</si>
  <si>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</si>
  <si>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</si>
  <si>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</si>
  <si>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01050</t>
  </si>
  <si>
    <t>01053</t>
  </si>
  <si>
    <t>01054</t>
  </si>
  <si>
    <t>01056</t>
  </si>
  <si>
    <t>01057</t>
  </si>
  <si>
    <t>01060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</si>
  <si>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</si>
  <si>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</si>
  <si>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</si>
  <si>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</si>
  <si>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</si>
  <si>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</si>
  <si>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</si>
  <si>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</si>
  <si>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</si>
  <si>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</si>
  <si>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</si>
  <si>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</si>
  <si>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</si>
  <si>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</si>
  <si>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</si>
  <si>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</si>
  <si>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</si>
  <si>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</si>
  <si>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</si>
  <si>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</si>
  <si>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</si>
  <si>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</si>
  <si>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01092</t>
  </si>
  <si>
    <t>01093</t>
  </si>
  <si>
    <t>01094</t>
  </si>
  <si>
    <t>01095</t>
  </si>
  <si>
    <t>01096</t>
  </si>
  <si>
    <t>01097</t>
  </si>
  <si>
    <t>01098</t>
  </si>
  <si>
    <t>01103</t>
  </si>
  <si>
    <t>01104</t>
  </si>
  <si>
    <t>01105</t>
  </si>
  <si>
    <t>01106</t>
  </si>
  <si>
    <t>01107</t>
  </si>
  <si>
    <t>01108</t>
  </si>
  <si>
    <t>01109</t>
  </si>
  <si>
    <t>01118</t>
  </si>
  <si>
    <t>01119</t>
  </si>
  <si>
    <t>01128</t>
  </si>
  <si>
    <t>01129</t>
  </si>
  <si>
    <t>01151</t>
  </si>
  <si>
    <t>01199</t>
  </si>
  <si>
    <t>01201</t>
  </si>
  <si>
    <t>01220</t>
  </si>
  <si>
    <t>01222</t>
  </si>
  <si>
    <t>01223</t>
  </si>
  <si>
    <t>01224</t>
  </si>
  <si>
    <t>01225</t>
  </si>
  <si>
    <t>01226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</si>
  <si>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</si>
  <si>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</si>
  <si>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</si>
  <si>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</si>
  <si>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</si>
  <si>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</si>
  <si>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</si>
  <si>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</si>
  <si>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</si>
  <si>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</si>
  <si>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</si>
  <si>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</si>
  <si>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</si>
  <si>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</si>
  <si>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</si>
  <si>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</si>
  <si>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</si>
  <si>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</si>
  <si>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</si>
  <si>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</si>
  <si>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</si>
  <si>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01264</t>
  </si>
  <si>
    <t>01266</t>
  </si>
  <si>
    <t>01267</t>
  </si>
  <si>
    <t>01270</t>
  </si>
  <si>
    <t>01301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</si>
  <si>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</si>
  <si>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</si>
  <si>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</si>
  <si>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</si>
  <si>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</si>
  <si>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</si>
  <si>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</si>
  <si>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</si>
  <si>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</si>
  <si>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</si>
  <si>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</si>
  <si>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</si>
  <si>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</si>
  <si>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</si>
  <si>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</si>
  <si>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</si>
  <si>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</si>
  <si>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</si>
  <si>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</si>
  <si>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</si>
  <si>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</si>
  <si>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</si>
  <si>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</si>
  <si>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</si>
  <si>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</si>
  <si>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</si>
  <si>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</si>
  <si>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</si>
  <si>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</si>
  <si>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</si>
  <si>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</si>
  <si>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</si>
  <si>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</si>
  <si>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</si>
  <si>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</si>
  <si>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</si>
  <si>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</si>
  <si>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</si>
  <si>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</si>
  <si>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</si>
  <si>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</si>
  <si>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</si>
  <si>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</si>
  <si>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</si>
  <si>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</si>
  <si>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</si>
  <si>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</si>
  <si>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</si>
  <si>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</si>
  <si>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</si>
  <si>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</si>
  <si>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</si>
  <si>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</si>
  <si>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</si>
  <si>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</si>
  <si>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</si>
  <si>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</si>
  <si>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</si>
  <si>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</si>
  <si>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</si>
  <si>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</si>
  <si>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</si>
  <si>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</si>
  <si>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</si>
  <si>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</si>
  <si>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</si>
  <si>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</si>
  <si>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</si>
  <si>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</si>
  <si>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</si>
  <si>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</si>
  <si>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</si>
  <si>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</si>
  <si>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</si>
  <si>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</si>
  <si>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01540</t>
  </si>
  <si>
    <t>01541</t>
  </si>
  <si>
    <t>01542</t>
  </si>
  <si>
    <t>01543</t>
  </si>
  <si>
    <t>01545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</si>
  <si>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</si>
  <si>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</si>
  <si>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</si>
  <si>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</si>
  <si>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</si>
  <si>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</si>
  <si>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</si>
  <si>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</si>
  <si>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</si>
  <si>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</si>
  <si>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</si>
  <si>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</si>
  <si>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</si>
  <si>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01588</t>
  </si>
  <si>
    <t>01590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</si>
  <si>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</si>
  <si>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</si>
  <si>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</si>
  <si>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</si>
  <si>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</si>
  <si>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</si>
  <si>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</si>
  <si>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</si>
  <si>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</si>
  <si>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</si>
  <si>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</si>
  <si>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01701</t>
  </si>
  <si>
    <t>01702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</si>
  <si>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</si>
  <si>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</si>
  <si>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</si>
  <si>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</si>
  <si>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</si>
  <si>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</si>
  <si>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</si>
  <si>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</si>
  <si>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</si>
  <si>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</si>
  <si>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</si>
  <si>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</si>
  <si>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</si>
  <si>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</si>
  <si>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</si>
  <si>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</si>
  <si>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</si>
  <si>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</si>
  <si>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</si>
  <si>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</si>
  <si>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</si>
  <si>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</si>
  <si>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</si>
  <si>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</si>
  <si>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</si>
  <si>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01801</t>
  </si>
  <si>
    <t>01803</t>
  </si>
  <si>
    <t>01810</t>
  </si>
  <si>
    <t>01821</t>
  </si>
  <si>
    <t>01824</t>
  </si>
  <si>
    <t>01826</t>
  </si>
  <si>
    <t>01827</t>
  </si>
  <si>
    <t>01830</t>
  </si>
  <si>
    <t>01832</t>
  </si>
  <si>
    <t>01833</t>
  </si>
  <si>
    <t>01834</t>
  </si>
  <si>
    <t>01835</t>
  </si>
  <si>
    <t>01840</t>
  </si>
  <si>
    <t>01841</t>
  </si>
  <si>
    <t>01843</t>
  </si>
  <si>
    <t>01844</t>
  </si>
  <si>
    <t>01845</t>
  </si>
  <si>
    <t>01850</t>
  </si>
  <si>
    <t>01851</t>
  </si>
  <si>
    <t>01852</t>
  </si>
  <si>
    <t>01854</t>
  </si>
  <si>
    <t>01860</t>
  </si>
  <si>
    <t>01862</t>
  </si>
  <si>
    <t>01863</t>
  </si>
  <si>
    <t>01864</t>
  </si>
  <si>
    <t>01867</t>
  </si>
  <si>
    <t>01876</t>
  </si>
  <si>
    <t>01879</t>
  </si>
  <si>
    <t>01880</t>
  </si>
  <si>
    <t>01886</t>
  </si>
  <si>
    <t>01887</t>
  </si>
  <si>
    <t>01890</t>
  </si>
  <si>
    <t>01901</t>
  </si>
  <si>
    <t>01902</t>
  </si>
  <si>
    <t>01904</t>
  </si>
  <si>
    <t>01905</t>
  </si>
  <si>
    <t>01906</t>
  </si>
  <si>
    <t>01907</t>
  </si>
  <si>
    <t>01908</t>
  </si>
  <si>
    <t>01913</t>
  </si>
  <si>
    <t>01915</t>
  </si>
  <si>
    <t>01921</t>
  </si>
  <si>
    <t>01922</t>
  </si>
  <si>
    <t>01923</t>
  </si>
  <si>
    <t>01929</t>
  </si>
  <si>
    <t>01930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</si>
  <si>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</si>
  <si>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</si>
  <si>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</si>
  <si>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</si>
  <si>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</si>
  <si>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</si>
  <si>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</si>
  <si>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</si>
  <si>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</si>
  <si>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</si>
  <si>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01966</t>
  </si>
  <si>
    <t>01969</t>
  </si>
  <si>
    <t>01970</t>
  </si>
  <si>
    <t>01982</t>
  </si>
  <si>
    <t>01983</t>
  </si>
  <si>
    <t>01984</t>
  </si>
  <si>
    <t>01985</t>
  </si>
  <si>
    <t>02019</t>
  </si>
  <si>
    <t>02021</t>
  </si>
  <si>
    <t>02025</t>
  </si>
  <si>
    <t>02026</t>
  </si>
  <si>
    <t>02030</t>
  </si>
  <si>
    <t>02032</t>
  </si>
  <si>
    <t>02035</t>
  </si>
  <si>
    <t>02038</t>
  </si>
  <si>
    <t>02043</t>
  </si>
  <si>
    <t>02045</t>
  </si>
  <si>
    <t>02047</t>
  </si>
  <si>
    <t>02048</t>
  </si>
  <si>
    <t>02050</t>
  </si>
  <si>
    <t>02052</t>
  </si>
  <si>
    <t>02053</t>
  </si>
  <si>
    <t>02054</t>
  </si>
  <si>
    <t>02056</t>
  </si>
  <si>
    <t>02061</t>
  </si>
  <si>
    <t>02062</t>
  </si>
  <si>
    <t>02066</t>
  </si>
  <si>
    <t>02067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</si>
  <si>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</si>
  <si>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</si>
  <si>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</si>
  <si>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</si>
  <si>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</si>
  <si>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</si>
  <si>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</si>
  <si>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</si>
  <si>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</si>
  <si>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02113</t>
  </si>
  <si>
    <t>02114</t>
  </si>
  <si>
    <t>02115</t>
  </si>
  <si>
    <t>02116</t>
  </si>
  <si>
    <t>02118</t>
  </si>
  <si>
    <t>02119</t>
  </si>
  <si>
    <t>02120</t>
  </si>
  <si>
    <t>02121</t>
  </si>
  <si>
    <t>02122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</si>
  <si>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</si>
  <si>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</si>
  <si>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</si>
  <si>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</si>
  <si>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</si>
  <si>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</si>
  <si>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</si>
  <si>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</si>
  <si>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</si>
  <si>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02134</t>
  </si>
  <si>
    <t>02135</t>
  </si>
  <si>
    <t>02136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</si>
  <si>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</si>
  <si>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</si>
  <si>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</si>
  <si>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</si>
  <si>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</si>
  <si>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</si>
  <si>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</si>
  <si>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</si>
  <si>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</si>
  <si>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</si>
  <si>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</si>
  <si>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</si>
  <si>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</si>
  <si>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02155</t>
  </si>
  <si>
    <t>02163</t>
  </si>
  <si>
    <t>02169</t>
  </si>
  <si>
    <t>02170</t>
  </si>
  <si>
    <t>02171</t>
  </si>
  <si>
    <t>02176</t>
  </si>
  <si>
    <t>02180</t>
  </si>
  <si>
    <t>02184</t>
  </si>
  <si>
    <t>02186</t>
  </si>
  <si>
    <t>02188</t>
  </si>
  <si>
    <t>02189</t>
  </si>
  <si>
    <t>02190</t>
  </si>
  <si>
    <t>02191</t>
  </si>
  <si>
    <t>02199</t>
  </si>
  <si>
    <t>02203</t>
  </si>
  <si>
    <t>02210</t>
  </si>
  <si>
    <t>02215</t>
  </si>
  <si>
    <t>02301</t>
  </si>
  <si>
    <t>02302</t>
  </si>
  <si>
    <t>02322</t>
  </si>
  <si>
    <t>02324</t>
  </si>
  <si>
    <t>02330</t>
  </si>
  <si>
    <t>02332</t>
  </si>
  <si>
    <t>02333</t>
  </si>
  <si>
    <t>02338</t>
  </si>
  <si>
    <t>02339</t>
  </si>
  <si>
    <t>02341</t>
  </si>
  <si>
    <t>02343</t>
  </si>
  <si>
    <t>02346</t>
  </si>
  <si>
    <t>02347</t>
  </si>
  <si>
    <t>02351</t>
  </si>
  <si>
    <t>02356</t>
  </si>
  <si>
    <t>02357</t>
  </si>
  <si>
    <t>02359</t>
  </si>
  <si>
    <t>02360</t>
  </si>
  <si>
    <t>02364</t>
  </si>
  <si>
    <t>02366</t>
  </si>
  <si>
    <t>02367</t>
  </si>
  <si>
    <t>02368</t>
  </si>
  <si>
    <t>02370</t>
  </si>
  <si>
    <t>02375</t>
  </si>
  <si>
    <t>02379</t>
  </si>
  <si>
    <t>02382</t>
  </si>
  <si>
    <t>02420</t>
  </si>
  <si>
    <t>02421</t>
  </si>
  <si>
    <t>02445</t>
  </si>
  <si>
    <t>02446</t>
  </si>
  <si>
    <t>02451</t>
  </si>
  <si>
    <t>02452</t>
  </si>
  <si>
    <t>02453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</si>
  <si>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</si>
  <si>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</si>
  <si>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</si>
  <si>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</si>
  <si>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</si>
  <si>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</si>
  <si>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</si>
  <si>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</si>
  <si>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</si>
  <si>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</si>
  <si>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</si>
  <si>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02472</t>
  </si>
  <si>
    <t>02474</t>
  </si>
  <si>
    <t>02476</t>
  </si>
  <si>
    <t>02478</t>
  </si>
  <si>
    <t>02481</t>
  </si>
  <si>
    <t>02482</t>
  </si>
  <si>
    <t>02492</t>
  </si>
  <si>
    <t>02493</t>
  </si>
  <si>
    <t>02494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</si>
  <si>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</si>
  <si>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</si>
  <si>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</si>
  <si>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</si>
  <si>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</si>
  <si>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</si>
  <si>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</si>
  <si>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</si>
  <si>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02542</t>
  </si>
  <si>
    <t>02543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</si>
  <si>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</si>
  <si>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</si>
  <si>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</si>
  <si>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</si>
  <si>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</si>
  <si>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</si>
  <si>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</si>
  <si>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</si>
  <si>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</si>
  <si>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</si>
  <si>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</si>
  <si>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</si>
  <si>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</si>
  <si>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</si>
  <si>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</si>
  <si>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</si>
  <si>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</si>
  <si>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</si>
  <si>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</si>
  <si>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</si>
  <si>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02635</t>
  </si>
  <si>
    <t>02637</t>
  </si>
  <si>
    <t>02638</t>
  </si>
  <si>
    <t>02639</t>
  </si>
  <si>
    <t>02641</t>
  </si>
  <si>
    <t>02642</t>
  </si>
  <si>
    <t>02643</t>
  </si>
  <si>
    <t>Zip</t>
  </si>
  <si>
    <t>Looked Up Lon</t>
  </si>
  <si>
    <t>Looked Up Lat</t>
  </si>
  <si>
    <t>Lattitude</t>
  </si>
  <si>
    <t>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</si>
</sst>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76200</xdr:rowOff>
        </xdr:from>
        <xdr:to>
          <xdr:col>2</xdr:col>
          <xdr:colOff>361950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2</xdr:row>
          <xdr:rowOff>133350</xdr:rowOff>
        </xdr:from>
        <xdr:to>
          <xdr:col>12</xdr:col>
          <xdr:colOff>409575</xdr:colOff>
          <xdr:row>4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Column at 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C8" sqref="C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123825</xdr:colOff>
                    <xdr:row>2</xdr:row>
                    <xdr:rowOff>76200</xdr:rowOff>
                  </from>
                  <to>
                    <xdr:col>2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workbookViewId="0">
      <selection sqref="A1:E7"/>
    </sheetView>
  </sheetViews>
  <sheetFormatPr defaultRowHeight="15" x14ac:dyDescent="0.25"/>
  <sheetData>
    <row r="1" spans="1:5" x14ac:dyDescent="0.3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3">
      <c r="A2" t="s">
        <v>0</v>
      </c>
      <c r="B2">
        <v>1</v>
      </c>
      <c r="C2" s="1" t="s">
        <v>14</v>
      </c>
      <c r="D2" t="s">
        <v>9</v>
      </c>
      <c r="E2" t="s">
        <v>20</v>
      </c>
    </row>
    <row r="3" spans="1:5" x14ac:dyDescent="0.3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3">
      <c r="A4" t="s">
        <v>6</v>
      </c>
      <c r="B4">
        <v>3</v>
      </c>
      <c r="C4" s="1" t="s">
        <v>15</v>
      </c>
      <c r="D4" t="s">
        <v>11</v>
      </c>
      <c r="E4" t="s">
        <v>22</v>
      </c>
    </row>
    <row r="5" spans="1:5" x14ac:dyDescent="0.3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3">
      <c r="A6" t="s">
        <v>8</v>
      </c>
      <c r="B6">
        <v>5</v>
      </c>
      <c r="C6" s="1"/>
      <c r="D6" t="s">
        <v>13</v>
      </c>
      <c r="E6" t="s">
        <v>23</v>
      </c>
    </row>
    <row r="7" spans="1:5" x14ac:dyDescent="0.3">
      <c r="A7" t="s">
        <v>16</v>
      </c>
      <c r="B7">
        <v>6</v>
      </c>
      <c r="C7" s="1" t="s">
        <v>18</v>
      </c>
      <c r="D7" t="s">
        <v>17</v>
      </c>
      <c r="E7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A11" sqref="A11:XFD11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20</v>
      </c>
    </row>
    <row r="3" spans="1:5" x14ac:dyDescent="0.3">
      <c r="A3" t="s">
        <v>0</v>
      </c>
      <c r="B3">
        <v>1</v>
      </c>
      <c r="C3">
        <v>22</v>
      </c>
      <c r="D3" t="s">
        <v>9</v>
      </c>
      <c r="E3" t="s">
        <v>20</v>
      </c>
    </row>
    <row r="4" spans="1:5" x14ac:dyDescent="0.3">
      <c r="A4" t="s">
        <v>1</v>
      </c>
      <c r="B4">
        <v>2</v>
      </c>
      <c r="C4">
        <v>11</v>
      </c>
      <c r="D4" t="s">
        <v>10</v>
      </c>
      <c r="E4" t="s">
        <v>21</v>
      </c>
    </row>
    <row r="5" spans="1:5" x14ac:dyDescent="0.3">
      <c r="A5" t="s">
        <v>6</v>
      </c>
      <c r="B5">
        <v>3</v>
      </c>
      <c r="C5">
        <v>1</v>
      </c>
      <c r="D5" t="s">
        <v>11</v>
      </c>
      <c r="E5" t="s">
        <v>22</v>
      </c>
    </row>
    <row r="6" spans="1:5" x14ac:dyDescent="0.3">
      <c r="A6" t="s">
        <v>6</v>
      </c>
      <c r="B6">
        <v>3</v>
      </c>
      <c r="C6">
        <v>2</v>
      </c>
      <c r="D6" t="s">
        <v>11</v>
      </c>
      <c r="E6" t="s">
        <v>22</v>
      </c>
    </row>
    <row r="7" spans="1:5" x14ac:dyDescent="0.3">
      <c r="A7" t="s">
        <v>6</v>
      </c>
      <c r="B7">
        <v>3</v>
      </c>
      <c r="C7">
        <v>3</v>
      </c>
      <c r="D7" t="s">
        <v>11</v>
      </c>
      <c r="E7" t="s">
        <v>22</v>
      </c>
    </row>
    <row r="8" spans="1:5" x14ac:dyDescent="0.3">
      <c r="A8" t="s">
        <v>7</v>
      </c>
      <c r="B8">
        <v>4</v>
      </c>
      <c r="C8">
        <v>1</v>
      </c>
      <c r="D8" t="s">
        <v>12</v>
      </c>
    </row>
    <row r="9" spans="1:5" x14ac:dyDescent="0.3">
      <c r="A9" t="s">
        <v>8</v>
      </c>
      <c r="B9">
        <v>5</v>
      </c>
      <c r="D9" t="s">
        <v>13</v>
      </c>
      <c r="E9" t="s">
        <v>23</v>
      </c>
    </row>
    <row r="10" spans="1:5" x14ac:dyDescent="0.3">
      <c r="A10" t="s">
        <v>16</v>
      </c>
      <c r="B10">
        <v>6</v>
      </c>
      <c r="C10">
        <v>8</v>
      </c>
      <c r="D10" t="s">
        <v>17</v>
      </c>
      <c r="E10" t="s">
        <v>24</v>
      </c>
    </row>
    <row r="11" spans="1:5" x14ac:dyDescent="0.3">
      <c r="A11" t="s">
        <v>16</v>
      </c>
      <c r="B11">
        <v>6</v>
      </c>
      <c r="C11">
        <v>9</v>
      </c>
      <c r="D11" t="s">
        <v>17</v>
      </c>
      <c r="E1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"/>
  <sheetViews>
    <sheetView workbookViewId="0">
      <selection sqref="A1:E15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21</v>
      </c>
    </row>
    <row r="3" spans="1:5" x14ac:dyDescent="0.3">
      <c r="A3" t="s">
        <v>0</v>
      </c>
      <c r="B3">
        <v>1</v>
      </c>
      <c r="C3">
        <v>11</v>
      </c>
      <c r="D3" t="s">
        <v>9</v>
      </c>
      <c r="E3" t="s">
        <v>25</v>
      </c>
    </row>
    <row r="4" spans="1:5" x14ac:dyDescent="0.3">
      <c r="A4" t="s">
        <v>0</v>
      </c>
      <c r="B4">
        <v>1</v>
      </c>
      <c r="C4">
        <v>22</v>
      </c>
      <c r="D4" t="s">
        <v>9</v>
      </c>
      <c r="E4" t="s">
        <v>21</v>
      </c>
    </row>
    <row r="5" spans="1:5" x14ac:dyDescent="0.3">
      <c r="A5" t="s">
        <v>0</v>
      </c>
      <c r="B5">
        <v>1</v>
      </c>
      <c r="C5">
        <v>22</v>
      </c>
      <c r="D5" t="s">
        <v>9</v>
      </c>
      <c r="E5" t="s">
        <v>25</v>
      </c>
    </row>
    <row r="6" spans="1:5" x14ac:dyDescent="0.3">
      <c r="A6" t="s">
        <v>1</v>
      </c>
      <c r="B6">
        <v>2</v>
      </c>
      <c r="C6">
        <v>11</v>
      </c>
      <c r="D6" t="s">
        <v>10</v>
      </c>
      <c r="E6" t="s">
        <v>21</v>
      </c>
    </row>
    <row r="7" spans="1:5" x14ac:dyDescent="0.3">
      <c r="A7" t="s">
        <v>6</v>
      </c>
      <c r="B7">
        <v>3</v>
      </c>
      <c r="C7">
        <v>1</v>
      </c>
      <c r="D7" t="s">
        <v>11</v>
      </c>
      <c r="E7" t="s">
        <v>22</v>
      </c>
    </row>
    <row r="8" spans="1:5" x14ac:dyDescent="0.3">
      <c r="A8" t="s">
        <v>6</v>
      </c>
      <c r="B8">
        <v>3</v>
      </c>
      <c r="C8">
        <v>2</v>
      </c>
      <c r="D8" t="s">
        <v>11</v>
      </c>
      <c r="E8" t="s">
        <v>22</v>
      </c>
    </row>
    <row r="9" spans="1:5" x14ac:dyDescent="0.3">
      <c r="A9" t="s">
        <v>6</v>
      </c>
      <c r="B9">
        <v>3</v>
      </c>
      <c r="C9">
        <v>3</v>
      </c>
      <c r="D9" t="s">
        <v>11</v>
      </c>
      <c r="E9" t="s">
        <v>22</v>
      </c>
    </row>
    <row r="10" spans="1:5" x14ac:dyDescent="0.3">
      <c r="A10" t="s">
        <v>7</v>
      </c>
      <c r="B10">
        <v>4</v>
      </c>
      <c r="C10">
        <v>1</v>
      </c>
      <c r="D10" t="s">
        <v>12</v>
      </c>
    </row>
    <row r="11" spans="1:5" x14ac:dyDescent="0.3">
      <c r="A11" t="s">
        <v>8</v>
      </c>
      <c r="B11">
        <v>5</v>
      </c>
      <c r="D11" t="s">
        <v>13</v>
      </c>
      <c r="E11" t="s">
        <v>26</v>
      </c>
    </row>
    <row r="12" spans="1:5" x14ac:dyDescent="0.3">
      <c r="A12" t="s">
        <v>8</v>
      </c>
      <c r="B12">
        <v>5</v>
      </c>
      <c r="D12" t="s">
        <v>13</v>
      </c>
      <c r="E12" t="s">
        <v>27</v>
      </c>
    </row>
    <row r="13" spans="1:5" x14ac:dyDescent="0.3">
      <c r="A13" t="s">
        <v>8</v>
      </c>
      <c r="B13">
        <v>5</v>
      </c>
      <c r="D13" t="s">
        <v>13</v>
      </c>
      <c r="E13" t="s">
        <v>28</v>
      </c>
    </row>
    <row r="14" spans="1:5" x14ac:dyDescent="0.3">
      <c r="A14" t="s">
        <v>16</v>
      </c>
      <c r="B14">
        <v>6</v>
      </c>
      <c r="C14">
        <v>8</v>
      </c>
      <c r="D14" t="s">
        <v>17</v>
      </c>
      <c r="E14" t="s">
        <v>24</v>
      </c>
    </row>
    <row r="15" spans="1:5" x14ac:dyDescent="0.3">
      <c r="A15" t="s">
        <v>16</v>
      </c>
      <c r="B15">
        <v>6</v>
      </c>
      <c r="C15">
        <v>9</v>
      </c>
      <c r="D15" t="s">
        <v>17</v>
      </c>
      <c r="E15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workbookViewId="0">
      <selection activeCell="E9" sqref="E9"/>
    </sheetView>
  </sheetViews>
  <sheetFormatPr defaultRowHeight="15" x14ac:dyDescent="0.25"/>
  <cols>
    <col min="4" max="4" width="14.140625" bestFit="1" customWidth="1"/>
  </cols>
  <sheetData>
    <row r="1" spans="1:5" x14ac:dyDescent="0.25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25">
      <c r="A2" t="s">
        <v>0</v>
      </c>
      <c r="B2">
        <v>1</v>
      </c>
      <c r="C2" s="1">
        <v>11</v>
      </c>
      <c r="D2" t="s">
        <v>9</v>
      </c>
      <c r="E2" t="s">
        <v>21</v>
      </c>
    </row>
    <row r="3" spans="1:5" x14ac:dyDescent="0.25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25">
      <c r="A4" t="s">
        <v>6</v>
      </c>
      <c r="B4">
        <v>3</v>
      </c>
      <c r="C4" s="1">
        <v>123</v>
      </c>
      <c r="D4" t="s">
        <v>11</v>
      </c>
      <c r="E4" t="s">
        <v>22</v>
      </c>
    </row>
    <row r="5" spans="1:5" x14ac:dyDescent="0.25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25">
      <c r="A6" t="s">
        <v>8</v>
      </c>
      <c r="B6">
        <v>5</v>
      </c>
      <c r="C6" s="1"/>
      <c r="D6" t="s">
        <v>13</v>
      </c>
      <c r="E6" t="s">
        <v>26</v>
      </c>
    </row>
    <row r="7" spans="1:5" x14ac:dyDescent="0.25">
      <c r="A7" t="s">
        <v>16</v>
      </c>
      <c r="B7">
        <v>6</v>
      </c>
      <c r="C7" s="1">
        <v>89</v>
      </c>
      <c r="D7" t="s">
        <v>17</v>
      </c>
      <c r="E7" t="s">
        <v>31</v>
      </c>
    </row>
    <row r="9" spans="1:5" x14ac:dyDescent="0.25">
      <c r="D9" t="s">
        <v>30</v>
      </c>
      <c r="E9">
        <f ca="1">GetSQLValue("SELECT COUNT(*) FROM [SQL Example$A1:E7] WHERE [Col5] = 'CC'")</f>
        <v>2</v>
      </c>
    </row>
    <row r="10" spans="1:5" x14ac:dyDescent="0.25">
      <c r="D10" t="s">
        <v>29</v>
      </c>
      <c r="E10">
        <f ca="1">GetSQLValue("SELECT COUNT(*) FROM (SELECT DISTINCT [Col5] FROM [SQL Example$A1:E7]) As T")</f>
        <v>4</v>
      </c>
    </row>
  </sheetData>
  <autoFilter ref="A1:E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E41" sqref="E41"/>
    </sheetView>
  </sheetViews>
  <sheetFormatPr defaultRowHeight="15" x14ac:dyDescent="0.25"/>
  <cols>
    <col min="4" max="4" width="15.7109375" bestFit="1" customWidth="1"/>
    <col min="6" max="6" width="17" bestFit="1" customWidth="1"/>
  </cols>
  <sheetData>
    <row r="1" spans="1:6" x14ac:dyDescent="0.25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  <c r="F1" s="2" t="s">
        <v>34</v>
      </c>
    </row>
    <row r="2" spans="1:6" x14ac:dyDescent="0.25">
      <c r="A2" t="s">
        <v>0</v>
      </c>
      <c r="B2">
        <v>1</v>
      </c>
      <c r="C2" s="1">
        <v>11</v>
      </c>
      <c r="D2" t="s">
        <v>9</v>
      </c>
      <c r="E2" t="s">
        <v>21</v>
      </c>
      <c r="F2">
        <f ca="1">CountFrequency(E$2:E$7,E2)</f>
        <v>2</v>
      </c>
    </row>
    <row r="3" spans="1:6" x14ac:dyDescent="0.25">
      <c r="A3" t="s">
        <v>1</v>
      </c>
      <c r="B3">
        <v>2</v>
      </c>
      <c r="C3" s="1">
        <v>11</v>
      </c>
      <c r="D3" t="s">
        <v>10</v>
      </c>
      <c r="E3" t="s">
        <v>21</v>
      </c>
      <c r="F3">
        <f t="shared" ref="F3:F7" ca="1" si="0">CountFrequency(E$2:E$7,E3)</f>
        <v>2</v>
      </c>
    </row>
    <row r="4" spans="1:6" x14ac:dyDescent="0.25">
      <c r="A4" t="s">
        <v>6</v>
      </c>
      <c r="B4">
        <v>3</v>
      </c>
      <c r="C4" s="1">
        <v>123</v>
      </c>
      <c r="D4" t="s">
        <v>11</v>
      </c>
      <c r="E4" t="s">
        <v>22</v>
      </c>
      <c r="F4">
        <f t="shared" ca="1" si="0"/>
        <v>2</v>
      </c>
    </row>
    <row r="5" spans="1:6" x14ac:dyDescent="0.25">
      <c r="A5" t="s">
        <v>7</v>
      </c>
      <c r="B5">
        <v>4</v>
      </c>
      <c r="C5" s="1">
        <v>1</v>
      </c>
      <c r="D5" t="s">
        <v>12</v>
      </c>
      <c r="E5" t="s">
        <v>22</v>
      </c>
      <c r="F5">
        <f t="shared" ca="1" si="0"/>
        <v>2</v>
      </c>
    </row>
    <row r="6" spans="1:6" x14ac:dyDescent="0.25">
      <c r="A6" t="s">
        <v>8</v>
      </c>
      <c r="B6">
        <v>5</v>
      </c>
      <c r="C6" s="1"/>
      <c r="D6" t="s">
        <v>13</v>
      </c>
      <c r="E6" t="s">
        <v>26</v>
      </c>
      <c r="F6">
        <f t="shared" ca="1" si="0"/>
        <v>1</v>
      </c>
    </row>
    <row r="7" spans="1:6" x14ac:dyDescent="0.25">
      <c r="A7" t="s">
        <v>16</v>
      </c>
      <c r="B7">
        <v>6</v>
      </c>
      <c r="C7" s="1">
        <v>89</v>
      </c>
      <c r="D7" t="s">
        <v>17</v>
      </c>
      <c r="E7" t="s">
        <v>31</v>
      </c>
      <c r="F7">
        <f t="shared" ca="1" si="0"/>
        <v>1</v>
      </c>
    </row>
    <row r="9" spans="1:6" x14ac:dyDescent="0.25">
      <c r="D9" t="s">
        <v>32</v>
      </c>
      <c r="E9">
        <f ca="1">CountDistinctValues(C2:C7)</f>
        <v>5</v>
      </c>
    </row>
    <row r="10" spans="1:6" x14ac:dyDescent="0.25">
      <c r="D10" t="s">
        <v>33</v>
      </c>
      <c r="E10">
        <f ca="1">CountFrequency(E2:E7, "cc")</f>
        <v>2</v>
      </c>
    </row>
  </sheetData>
  <autoFilter ref="A1:F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19"/>
  <sheetViews>
    <sheetView workbookViewId="0">
      <selection activeCell="A15" sqref="A15:A37"/>
    </sheetView>
  </sheetViews>
  <sheetFormatPr defaultRowHeight="15" x14ac:dyDescent="0.25"/>
  <sheetData>
    <row r="1" spans="1:3" x14ac:dyDescent="0.25">
      <c r="A1" s="4" t="s">
        <v>35</v>
      </c>
      <c r="B1" t="s">
        <v>36</v>
      </c>
      <c r="C1" t="s">
        <v>37</v>
      </c>
    </row>
    <row r="2" spans="1:3" x14ac:dyDescent="0.25">
      <c r="A2" s="4" t="s">
        <v>38</v>
      </c>
      <c r="B2">
        <v>18.180554999999998</v>
      </c>
      <c r="C2">
        <v>-66.749960999999999</v>
      </c>
    </row>
    <row r="3" spans="1:3" x14ac:dyDescent="0.25">
      <c r="A3" s="4" t="s">
        <v>39</v>
      </c>
      <c r="B3">
        <v>18.361944999999999</v>
      </c>
      <c r="C3">
        <v>-67.175596999999996</v>
      </c>
    </row>
    <row r="4" spans="1:3" x14ac:dyDescent="0.25">
      <c r="A4" s="4" t="s">
        <v>40</v>
      </c>
      <c r="B4">
        <v>18.455183000000002</v>
      </c>
      <c r="C4">
        <v>-67.119887000000006</v>
      </c>
    </row>
    <row r="5" spans="1:3" x14ac:dyDescent="0.25">
      <c r="A5" s="4" t="s">
        <v>41</v>
      </c>
      <c r="B5">
        <v>18.158345000000001</v>
      </c>
      <c r="C5">
        <v>-66.932911000000004</v>
      </c>
    </row>
    <row r="6" spans="1:3" x14ac:dyDescent="0.25">
      <c r="A6" s="4" t="s">
        <v>42</v>
      </c>
      <c r="B6">
        <v>18.295366000000001</v>
      </c>
      <c r="C6">
        <v>-67.125135</v>
      </c>
    </row>
    <row r="7" spans="1:3" x14ac:dyDescent="0.25">
      <c r="A7" s="4" t="s">
        <v>43</v>
      </c>
      <c r="B7">
        <v>18.402253000000002</v>
      </c>
      <c r="C7">
        <v>-66.711397000000005</v>
      </c>
    </row>
    <row r="8" spans="1:3" x14ac:dyDescent="0.25">
      <c r="A8" s="4" t="s">
        <v>44</v>
      </c>
      <c r="B8">
        <v>18.420411999999999</v>
      </c>
      <c r="C8">
        <v>-66.671978999999993</v>
      </c>
    </row>
    <row r="9" spans="1:3" x14ac:dyDescent="0.25">
      <c r="A9" s="4" t="s">
        <v>45</v>
      </c>
      <c r="B9">
        <v>18.445146999999999</v>
      </c>
      <c r="C9">
        <v>-66.559696000000002</v>
      </c>
    </row>
    <row r="10" spans="1:3" x14ac:dyDescent="0.25">
      <c r="A10" s="4" t="s">
        <v>46</v>
      </c>
      <c r="B10">
        <v>17.991244999999999</v>
      </c>
      <c r="C10">
        <v>-67.153993</v>
      </c>
    </row>
    <row r="11" spans="1:3" x14ac:dyDescent="0.25">
      <c r="A11" s="4" t="s">
        <v>47</v>
      </c>
      <c r="B11">
        <v>18.083361</v>
      </c>
      <c r="C11">
        <v>-67.153897000000001</v>
      </c>
    </row>
    <row r="12" spans="1:3" x14ac:dyDescent="0.25">
      <c r="A12" s="4" t="s">
        <v>48</v>
      </c>
      <c r="B12">
        <v>18.064919</v>
      </c>
      <c r="C12">
        <v>-66.716683000000003</v>
      </c>
    </row>
    <row r="13" spans="1:3" x14ac:dyDescent="0.25">
      <c r="A13" s="4" t="s">
        <v>49</v>
      </c>
      <c r="B13">
        <v>18.412600000000001</v>
      </c>
      <c r="C13">
        <v>-66.863926000000006</v>
      </c>
    </row>
    <row r="14" spans="1:3" x14ac:dyDescent="0.25">
      <c r="A14" s="4" t="s">
        <v>50</v>
      </c>
      <c r="B14">
        <v>18.190607</v>
      </c>
      <c r="C14">
        <v>-66.832041000000004</v>
      </c>
    </row>
    <row r="15" spans="1:3" x14ac:dyDescent="0.25">
      <c r="A15" s="4" t="s">
        <v>51</v>
      </c>
      <c r="B15">
        <v>18.076713000000002</v>
      </c>
      <c r="C15">
        <v>-66.947389000000001</v>
      </c>
    </row>
    <row r="16" spans="1:3" x14ac:dyDescent="0.25">
      <c r="A16" s="4" t="s">
        <v>52</v>
      </c>
      <c r="B16">
        <v>18.295912999999999</v>
      </c>
      <c r="C16">
        <v>-66.515587999999994</v>
      </c>
    </row>
    <row r="17" spans="1:3" x14ac:dyDescent="0.25">
      <c r="A17" s="4" t="s">
        <v>53</v>
      </c>
      <c r="B17">
        <v>18.263085</v>
      </c>
      <c r="C17">
        <v>-66.712985000000003</v>
      </c>
    </row>
    <row r="18" spans="1:3" x14ac:dyDescent="0.25">
      <c r="A18" s="4" t="s">
        <v>54</v>
      </c>
      <c r="B18">
        <v>18.433150000000001</v>
      </c>
      <c r="C18">
        <v>-66.285875000000004</v>
      </c>
    </row>
    <row r="19" spans="1:3" x14ac:dyDescent="0.25">
      <c r="A19" s="4" t="s">
        <v>55</v>
      </c>
      <c r="B19">
        <v>17.963612999999999</v>
      </c>
      <c r="C19">
        <v>-66.947126999999995</v>
      </c>
    </row>
    <row r="20" spans="1:3" x14ac:dyDescent="0.25">
      <c r="A20" s="4" t="s">
        <v>56</v>
      </c>
      <c r="B20">
        <v>18.349416000000002</v>
      </c>
      <c r="C20">
        <v>-66.578079000000002</v>
      </c>
    </row>
    <row r="21" spans="1:3" x14ac:dyDescent="0.25">
      <c r="A21" s="4" t="s">
        <v>57</v>
      </c>
      <c r="B21">
        <v>18.448452</v>
      </c>
      <c r="C21">
        <v>-66.594127</v>
      </c>
    </row>
    <row r="22" spans="1:3" x14ac:dyDescent="0.25">
      <c r="A22" s="4" t="s">
        <v>58</v>
      </c>
      <c r="B22">
        <v>17.985033000000001</v>
      </c>
      <c r="C22">
        <v>-66.886536000000007</v>
      </c>
    </row>
    <row r="23" spans="1:3" x14ac:dyDescent="0.25">
      <c r="A23" s="4" t="s">
        <v>59</v>
      </c>
      <c r="B23">
        <v>18.053539000000001</v>
      </c>
      <c r="C23">
        <v>-66.792930999999996</v>
      </c>
    </row>
    <row r="24" spans="1:3" x14ac:dyDescent="0.25">
      <c r="A24" s="4" t="s">
        <v>60</v>
      </c>
      <c r="B24">
        <v>18.407226000000001</v>
      </c>
      <c r="C24">
        <v>-66.808999</v>
      </c>
    </row>
    <row r="25" spans="1:3" x14ac:dyDescent="0.25">
      <c r="A25" s="4" t="s">
        <v>61</v>
      </c>
      <c r="B25">
        <v>18.134695000000001</v>
      </c>
      <c r="C25">
        <v>-67.116198999999995</v>
      </c>
    </row>
    <row r="26" spans="1:3" x14ac:dyDescent="0.25">
      <c r="A26" s="4" t="s">
        <v>62</v>
      </c>
      <c r="B26">
        <v>18.468319999999999</v>
      </c>
      <c r="C26">
        <v>-67.015781000000004</v>
      </c>
    </row>
    <row r="27" spans="1:3" x14ac:dyDescent="0.25">
      <c r="A27" s="4" t="s">
        <v>63</v>
      </c>
      <c r="B27">
        <v>18.210329999999999</v>
      </c>
      <c r="C27">
        <v>-66.591616000000002</v>
      </c>
    </row>
    <row r="28" spans="1:3" x14ac:dyDescent="0.25">
      <c r="A28" s="4" t="s">
        <v>64</v>
      </c>
      <c r="B28">
        <v>18.003422</v>
      </c>
      <c r="C28">
        <v>-67.035809999999998</v>
      </c>
    </row>
    <row r="29" spans="1:3" x14ac:dyDescent="0.25">
      <c r="A29" s="4" t="s">
        <v>65</v>
      </c>
      <c r="B29">
        <v>18.277101999999999</v>
      </c>
      <c r="C29">
        <v>-66.869645000000006</v>
      </c>
    </row>
    <row r="30" spans="1:3" x14ac:dyDescent="0.25">
      <c r="A30" s="4" t="s">
        <v>66</v>
      </c>
      <c r="B30">
        <v>18.240186999999999</v>
      </c>
      <c r="C30">
        <v>-66.988776000000001</v>
      </c>
    </row>
    <row r="31" spans="1:3" x14ac:dyDescent="0.25">
      <c r="A31" s="4" t="s">
        <v>67</v>
      </c>
      <c r="B31">
        <v>18.422908</v>
      </c>
      <c r="C31">
        <v>-66.489337000000006</v>
      </c>
    </row>
    <row r="32" spans="1:3" x14ac:dyDescent="0.25">
      <c r="A32" s="4" t="s">
        <v>68</v>
      </c>
      <c r="B32">
        <v>18.377637</v>
      </c>
      <c r="C32">
        <v>-67.079573999999994</v>
      </c>
    </row>
    <row r="33" spans="1:3" x14ac:dyDescent="0.25">
      <c r="A33" s="4" t="s">
        <v>69</v>
      </c>
      <c r="B33">
        <v>18.332567999999998</v>
      </c>
      <c r="C33">
        <v>-67.227022000000005</v>
      </c>
    </row>
    <row r="34" spans="1:3" x14ac:dyDescent="0.25">
      <c r="A34" s="4" t="s">
        <v>70</v>
      </c>
      <c r="B34">
        <v>18.434099</v>
      </c>
      <c r="C34">
        <v>-66.927384000000004</v>
      </c>
    </row>
    <row r="35" spans="1:3" x14ac:dyDescent="0.25">
      <c r="A35" s="4" t="s">
        <v>71</v>
      </c>
      <c r="B35">
        <v>18.182054999999998</v>
      </c>
      <c r="C35">
        <v>-67.132502000000002</v>
      </c>
    </row>
    <row r="36" spans="1:3" x14ac:dyDescent="0.25">
      <c r="A36" s="4" t="s">
        <v>72</v>
      </c>
      <c r="B36">
        <v>18.221464000000001</v>
      </c>
      <c r="C36">
        <v>-67.156039000000007</v>
      </c>
    </row>
    <row r="37" spans="1:3" x14ac:dyDescent="0.25">
      <c r="A37" s="4" t="s">
        <v>73</v>
      </c>
      <c r="B37">
        <v>18.107800000000001</v>
      </c>
      <c r="C37">
        <v>-67.037262999999996</v>
      </c>
    </row>
    <row r="38" spans="1:3" x14ac:dyDescent="0.25">
      <c r="A38" s="4" t="s">
        <v>74</v>
      </c>
      <c r="B38">
        <v>18.332929</v>
      </c>
      <c r="C38">
        <v>-66.959688999999997</v>
      </c>
    </row>
    <row r="39" spans="1:3" x14ac:dyDescent="0.25">
      <c r="A39" s="4" t="s">
        <v>75</v>
      </c>
      <c r="B39">
        <v>18.319026000000001</v>
      </c>
      <c r="C39">
        <v>-66.420557000000002</v>
      </c>
    </row>
    <row r="40" spans="1:3" x14ac:dyDescent="0.25">
      <c r="A40" s="4" t="s">
        <v>76</v>
      </c>
      <c r="B40">
        <v>18.382263999999999</v>
      </c>
      <c r="C40">
        <v>-66.626437999999993</v>
      </c>
    </row>
    <row r="41" spans="1:3" x14ac:dyDescent="0.25">
      <c r="A41" s="4" t="s">
        <v>77</v>
      </c>
      <c r="B41">
        <v>18.495509999999999</v>
      </c>
      <c r="C41">
        <v>-67.098670999999996</v>
      </c>
    </row>
    <row r="42" spans="1:3" x14ac:dyDescent="0.25">
      <c r="A42" s="4" t="s">
        <v>78</v>
      </c>
      <c r="B42">
        <v>18.410188000000002</v>
      </c>
      <c r="C42">
        <v>-66.336556000000002</v>
      </c>
    </row>
    <row r="43" spans="1:3" x14ac:dyDescent="0.25">
      <c r="A43" s="4" t="s">
        <v>79</v>
      </c>
      <c r="B43">
        <v>18.422999999999998</v>
      </c>
      <c r="C43">
        <v>-66.397232000000002</v>
      </c>
    </row>
    <row r="44" spans="1:3" x14ac:dyDescent="0.25">
      <c r="A44" s="4" t="s">
        <v>80</v>
      </c>
      <c r="B44">
        <v>18.48237</v>
      </c>
      <c r="C44">
        <v>-66.391079000000005</v>
      </c>
    </row>
    <row r="45" spans="1:3" x14ac:dyDescent="0.25">
      <c r="A45" s="4" t="s">
        <v>81</v>
      </c>
      <c r="B45">
        <v>18.064848000000001</v>
      </c>
      <c r="C45">
        <v>-66.856318999999999</v>
      </c>
    </row>
    <row r="46" spans="1:3" x14ac:dyDescent="0.25">
      <c r="A46" s="4" t="s">
        <v>82</v>
      </c>
      <c r="B46">
        <v>18.248401000000001</v>
      </c>
      <c r="C46">
        <v>-66.130662000000001</v>
      </c>
    </row>
    <row r="47" spans="1:3" x14ac:dyDescent="0.25">
      <c r="A47" s="4" t="s">
        <v>83</v>
      </c>
      <c r="B47">
        <v>17.965769999999999</v>
      </c>
      <c r="C47">
        <v>-66.219555</v>
      </c>
    </row>
    <row r="48" spans="1:3" x14ac:dyDescent="0.25">
      <c r="A48" s="4" t="s">
        <v>84</v>
      </c>
      <c r="B48">
        <v>18.128961</v>
      </c>
      <c r="C48">
        <v>-66.266683</v>
      </c>
    </row>
    <row r="49" spans="1:3" x14ac:dyDescent="0.25">
      <c r="A49" s="4" t="s">
        <v>85</v>
      </c>
      <c r="B49">
        <v>18.014054999999999</v>
      </c>
      <c r="C49">
        <v>-65.920750999999996</v>
      </c>
    </row>
    <row r="50" spans="1:3" x14ac:dyDescent="0.25">
      <c r="A50" s="4" t="s">
        <v>86</v>
      </c>
      <c r="B50">
        <v>18.003025000000001</v>
      </c>
      <c r="C50">
        <v>-66.046237000000005</v>
      </c>
    </row>
    <row r="51" spans="1:3" x14ac:dyDescent="0.25">
      <c r="A51" s="4" t="s">
        <v>87</v>
      </c>
      <c r="B51">
        <v>18.011233000000001</v>
      </c>
      <c r="C51">
        <v>-66.560064999999994</v>
      </c>
    </row>
    <row r="52" spans="1:3" x14ac:dyDescent="0.25">
      <c r="A52" s="4" t="s">
        <v>88</v>
      </c>
      <c r="B52">
        <v>17.992039999999999</v>
      </c>
      <c r="C52">
        <v>-66.605856000000003</v>
      </c>
    </row>
    <row r="53" spans="1:3" x14ac:dyDescent="0.25">
      <c r="A53" s="4" t="s">
        <v>89</v>
      </c>
      <c r="B53">
        <v>18.003222000000001</v>
      </c>
      <c r="C53">
        <v>-66.614036999999996</v>
      </c>
    </row>
    <row r="54" spans="1:3" x14ac:dyDescent="0.25">
      <c r="A54" s="4" t="s">
        <v>90</v>
      </c>
      <c r="B54">
        <v>18.231988000000001</v>
      </c>
      <c r="C54">
        <v>-65.759623000000005</v>
      </c>
    </row>
    <row r="55" spans="1:3" x14ac:dyDescent="0.25">
      <c r="A55" s="4" t="s">
        <v>91</v>
      </c>
      <c r="B55">
        <v>18.289926999999999</v>
      </c>
      <c r="C55">
        <v>-66.253439999999998</v>
      </c>
    </row>
    <row r="56" spans="1:3" x14ac:dyDescent="0.25">
      <c r="A56" s="4" t="s">
        <v>92</v>
      </c>
      <c r="B56">
        <v>18.217946000000001</v>
      </c>
      <c r="C56">
        <v>-66.428076000000004</v>
      </c>
    </row>
    <row r="57" spans="1:3" x14ac:dyDescent="0.25">
      <c r="A57" s="4" t="s">
        <v>93</v>
      </c>
      <c r="B57">
        <v>18.043498</v>
      </c>
      <c r="C57">
        <v>-66.015478999999999</v>
      </c>
    </row>
    <row r="58" spans="1:3" x14ac:dyDescent="0.25">
      <c r="A58" s="4" t="s">
        <v>94</v>
      </c>
      <c r="B58">
        <v>18.218819</v>
      </c>
      <c r="C58">
        <v>-66.042375000000007</v>
      </c>
    </row>
    <row r="59" spans="1:3" x14ac:dyDescent="0.25">
      <c r="A59" s="4" t="s">
        <v>95</v>
      </c>
      <c r="B59">
        <v>18.215308</v>
      </c>
      <c r="C59">
        <v>-66.073565000000002</v>
      </c>
    </row>
    <row r="60" spans="1:3" x14ac:dyDescent="0.25">
      <c r="A60" s="4" t="s">
        <v>96</v>
      </c>
      <c r="B60">
        <v>17.989853</v>
      </c>
      <c r="C60">
        <v>-66.664116000000007</v>
      </c>
    </row>
    <row r="61" spans="1:3" x14ac:dyDescent="0.25">
      <c r="A61" s="4" t="s">
        <v>97</v>
      </c>
      <c r="B61">
        <v>18.323585000000001</v>
      </c>
      <c r="C61">
        <v>-65.883206000000001</v>
      </c>
    </row>
    <row r="62" spans="1:3" x14ac:dyDescent="0.25">
      <c r="A62" s="4" t="s">
        <v>98</v>
      </c>
      <c r="B62">
        <v>18.030830999999999</v>
      </c>
      <c r="C62">
        <v>-66.616838000000001</v>
      </c>
    </row>
    <row r="63" spans="1:3" x14ac:dyDescent="0.25">
      <c r="A63" s="4" t="s">
        <v>99</v>
      </c>
      <c r="B63">
        <v>18.109946999999998</v>
      </c>
      <c r="C63">
        <v>-66.635621999999998</v>
      </c>
    </row>
    <row r="64" spans="1:3" x14ac:dyDescent="0.25">
      <c r="A64" s="4" t="s">
        <v>100</v>
      </c>
      <c r="B64">
        <v>18.252604000000002</v>
      </c>
      <c r="C64">
        <v>-65.682494000000005</v>
      </c>
    </row>
    <row r="65" spans="1:3" x14ac:dyDescent="0.25">
      <c r="A65" s="4" t="s">
        <v>101</v>
      </c>
      <c r="B65">
        <v>18.103624</v>
      </c>
      <c r="C65">
        <v>-66.151667000000003</v>
      </c>
    </row>
    <row r="66" spans="1:3" x14ac:dyDescent="0.25">
      <c r="A66" s="4" t="s">
        <v>102</v>
      </c>
      <c r="B66">
        <v>18.304458</v>
      </c>
      <c r="C66">
        <v>-65.698711000000003</v>
      </c>
    </row>
    <row r="67" spans="1:3" x14ac:dyDescent="0.25">
      <c r="A67" s="4" t="s">
        <v>103</v>
      </c>
      <c r="B67">
        <v>18.177233000000001</v>
      </c>
      <c r="C67">
        <v>-66.160645000000002</v>
      </c>
    </row>
    <row r="68" spans="1:3" x14ac:dyDescent="0.25">
      <c r="A68" s="4" t="s">
        <v>104</v>
      </c>
      <c r="B68">
        <v>18.331178000000001</v>
      </c>
      <c r="C68">
        <v>-65.634103999999994</v>
      </c>
    </row>
    <row r="69" spans="1:3" x14ac:dyDescent="0.25">
      <c r="A69" s="4" t="s">
        <v>105</v>
      </c>
      <c r="B69">
        <v>18.163855000000002</v>
      </c>
      <c r="C69">
        <v>-65.754041999999998</v>
      </c>
    </row>
    <row r="70" spans="1:3" x14ac:dyDescent="0.25">
      <c r="A70" s="4" t="s">
        <v>106</v>
      </c>
      <c r="B70">
        <v>18.352215999999999</v>
      </c>
      <c r="C70">
        <v>-65.817386999999997</v>
      </c>
    </row>
    <row r="71" spans="1:3" x14ac:dyDescent="0.25">
      <c r="A71" s="4" t="s">
        <v>107</v>
      </c>
      <c r="B71">
        <v>18.001317</v>
      </c>
      <c r="C71">
        <v>-66.252183000000002</v>
      </c>
    </row>
    <row r="72" spans="1:3" x14ac:dyDescent="0.25">
      <c r="A72" s="4" t="s">
        <v>108</v>
      </c>
      <c r="B72">
        <v>18.147106999999998</v>
      </c>
      <c r="C72">
        <v>-65.976167000000004</v>
      </c>
    </row>
    <row r="73" spans="1:3" x14ac:dyDescent="0.25">
      <c r="A73" s="4" t="s">
        <v>109</v>
      </c>
      <c r="B73">
        <v>17.995441</v>
      </c>
      <c r="C73">
        <v>-66.391334000000001</v>
      </c>
    </row>
    <row r="74" spans="1:3" x14ac:dyDescent="0.25">
      <c r="A74" s="4" t="s">
        <v>110</v>
      </c>
      <c r="B74">
        <v>18.130096000000002</v>
      </c>
      <c r="C74">
        <v>-65.439368999999999</v>
      </c>
    </row>
    <row r="75" spans="1:3" x14ac:dyDescent="0.25">
      <c r="A75" s="4" t="s">
        <v>111</v>
      </c>
      <c r="B75">
        <v>18.133196000000002</v>
      </c>
      <c r="C75">
        <v>-66.476916000000003</v>
      </c>
    </row>
    <row r="76" spans="1:3" x14ac:dyDescent="0.25">
      <c r="A76" s="4" t="s">
        <v>112</v>
      </c>
      <c r="B76">
        <v>18.069489000000001</v>
      </c>
      <c r="C76">
        <v>-65.896161000000006</v>
      </c>
    </row>
    <row r="77" spans="1:3" x14ac:dyDescent="0.25">
      <c r="A77" s="4" t="s">
        <v>113</v>
      </c>
      <c r="B77">
        <v>18.1038</v>
      </c>
      <c r="C77">
        <v>-66.357585999999998</v>
      </c>
    </row>
    <row r="78" spans="1:3" x14ac:dyDescent="0.25">
      <c r="A78" s="4" t="s">
        <v>114</v>
      </c>
      <c r="B78">
        <v>18.187148000000001</v>
      </c>
      <c r="C78">
        <v>-65.871189000000001</v>
      </c>
    </row>
    <row r="79" spans="1:3" x14ac:dyDescent="0.25">
      <c r="A79" s="4" t="s">
        <v>115</v>
      </c>
      <c r="B79">
        <v>18.438969</v>
      </c>
      <c r="C79">
        <v>-65.905174000000002</v>
      </c>
    </row>
    <row r="80" spans="1:3" x14ac:dyDescent="0.25">
      <c r="A80" s="4" t="s">
        <v>116</v>
      </c>
      <c r="B80">
        <v>18.342887999999999</v>
      </c>
      <c r="C80">
        <v>-65.723108999999994</v>
      </c>
    </row>
    <row r="81" spans="1:3" x14ac:dyDescent="0.25">
      <c r="A81" s="4" t="s">
        <v>117</v>
      </c>
      <c r="B81">
        <v>18.326599000000002</v>
      </c>
      <c r="C81">
        <v>-65.307720000000003</v>
      </c>
    </row>
    <row r="82" spans="1:3" x14ac:dyDescent="0.25">
      <c r="A82" s="4" t="s">
        <v>118</v>
      </c>
      <c r="B82">
        <v>18.224132999999998</v>
      </c>
      <c r="C82">
        <v>-65.908541999999997</v>
      </c>
    </row>
    <row r="83" spans="1:3" x14ac:dyDescent="0.25">
      <c r="A83" s="4" t="s">
        <v>119</v>
      </c>
      <c r="B83">
        <v>18.264075999999999</v>
      </c>
      <c r="C83">
        <v>-65.97851</v>
      </c>
    </row>
    <row r="84" spans="1:3" x14ac:dyDescent="0.25">
      <c r="A84" s="4" t="s">
        <v>120</v>
      </c>
      <c r="B84">
        <v>18.102834000000001</v>
      </c>
      <c r="C84">
        <v>-66.568105000000003</v>
      </c>
    </row>
    <row r="85" spans="1:3" x14ac:dyDescent="0.25">
      <c r="A85" s="4" t="s">
        <v>121</v>
      </c>
      <c r="B85">
        <v>18.225708000000001</v>
      </c>
      <c r="C85">
        <v>-66.221632999999997</v>
      </c>
    </row>
    <row r="86" spans="1:3" x14ac:dyDescent="0.25">
      <c r="A86" s="4" t="s">
        <v>122</v>
      </c>
      <c r="B86">
        <v>18.303909999999998</v>
      </c>
      <c r="C86">
        <v>-66.326178999999996</v>
      </c>
    </row>
    <row r="87" spans="1:3" x14ac:dyDescent="0.25">
      <c r="A87" s="4" t="s">
        <v>123</v>
      </c>
      <c r="B87">
        <v>18.010714</v>
      </c>
      <c r="C87">
        <v>-66.133615000000006</v>
      </c>
    </row>
    <row r="88" spans="1:3" x14ac:dyDescent="0.25">
      <c r="A88" s="4" t="s">
        <v>124</v>
      </c>
      <c r="B88">
        <v>18.155424</v>
      </c>
      <c r="C88">
        <v>-66.229906999999997</v>
      </c>
    </row>
    <row r="89" spans="1:3" x14ac:dyDescent="0.25">
      <c r="A89" s="4" t="s">
        <v>125</v>
      </c>
      <c r="B89">
        <v>18.136782</v>
      </c>
      <c r="C89">
        <v>-65.821476000000004</v>
      </c>
    </row>
    <row r="90" spans="1:3" x14ac:dyDescent="0.25">
      <c r="A90" s="4" t="s">
        <v>126</v>
      </c>
      <c r="B90">
        <v>18.198955000000002</v>
      </c>
      <c r="C90">
        <v>-66.309832999999998</v>
      </c>
    </row>
    <row r="91" spans="1:3" x14ac:dyDescent="0.25">
      <c r="A91" s="4" t="s">
        <v>127</v>
      </c>
      <c r="B91">
        <v>18.060493999999998</v>
      </c>
      <c r="C91">
        <v>-66.500624000000002</v>
      </c>
    </row>
    <row r="92" spans="1:3" x14ac:dyDescent="0.25">
      <c r="A92" s="4" t="s">
        <v>128</v>
      </c>
      <c r="B92">
        <v>18.350449000000001</v>
      </c>
      <c r="C92">
        <v>-64.973885999999993</v>
      </c>
    </row>
    <row r="93" spans="1:3" x14ac:dyDescent="0.25">
      <c r="A93" s="4" t="s">
        <v>129</v>
      </c>
      <c r="B93">
        <v>18.340862000000001</v>
      </c>
      <c r="C93">
        <v>-64.923479</v>
      </c>
    </row>
    <row r="94" spans="1:3" x14ac:dyDescent="0.25">
      <c r="A94" s="4" t="s">
        <v>130</v>
      </c>
      <c r="B94">
        <v>17.743072000000002</v>
      </c>
      <c r="C94">
        <v>-64.686570000000003</v>
      </c>
    </row>
    <row r="95" spans="1:3" x14ac:dyDescent="0.25">
      <c r="A95" s="4" t="s">
        <v>131</v>
      </c>
      <c r="B95">
        <v>17.723541000000001</v>
      </c>
      <c r="C95">
        <v>-64.745931999999996</v>
      </c>
    </row>
    <row r="96" spans="1:3" x14ac:dyDescent="0.25">
      <c r="A96" s="4" t="s">
        <v>132</v>
      </c>
      <c r="B96">
        <v>17.744557</v>
      </c>
      <c r="C96">
        <v>-64.682933000000006</v>
      </c>
    </row>
    <row r="97" spans="1:3" x14ac:dyDescent="0.25">
      <c r="A97" s="4" t="s">
        <v>133</v>
      </c>
      <c r="B97">
        <v>18.338560000000001</v>
      </c>
      <c r="C97">
        <v>-64.736532999999994</v>
      </c>
    </row>
    <row r="98" spans="1:3" x14ac:dyDescent="0.25">
      <c r="A98" s="4" t="s">
        <v>134</v>
      </c>
      <c r="B98">
        <v>18.327293999999998</v>
      </c>
      <c r="C98">
        <v>-64.786720000000003</v>
      </c>
    </row>
    <row r="99" spans="1:3" x14ac:dyDescent="0.25">
      <c r="A99" s="4" t="s">
        <v>135</v>
      </c>
      <c r="B99">
        <v>17.747872000000001</v>
      </c>
      <c r="C99">
        <v>-64.880695000000003</v>
      </c>
    </row>
    <row r="100" spans="1:3" x14ac:dyDescent="0.25">
      <c r="A100" s="4" t="s">
        <v>136</v>
      </c>
      <c r="B100">
        <v>17.768132999999999</v>
      </c>
      <c r="C100">
        <v>-64.807851999999997</v>
      </c>
    </row>
    <row r="101" spans="1:3" x14ac:dyDescent="0.25">
      <c r="A101" s="4" t="s">
        <v>137</v>
      </c>
      <c r="B101">
        <v>17.709935999999999</v>
      </c>
      <c r="C101">
        <v>-64.750099000000006</v>
      </c>
    </row>
    <row r="102" spans="1:3" x14ac:dyDescent="0.25">
      <c r="A102" s="4" t="s">
        <v>138</v>
      </c>
      <c r="B102">
        <v>17.732227999999999</v>
      </c>
      <c r="C102">
        <v>-64.770759999999996</v>
      </c>
    </row>
    <row r="103" spans="1:3" x14ac:dyDescent="0.25">
      <c r="A103" s="4" t="s">
        <v>139</v>
      </c>
      <c r="B103">
        <v>18.465368999999999</v>
      </c>
      <c r="C103">
        <v>-66.104613000000001</v>
      </c>
    </row>
    <row r="104" spans="1:3" x14ac:dyDescent="0.25">
      <c r="A104" s="4" t="s">
        <v>140</v>
      </c>
      <c r="B104">
        <v>18.464459999999999</v>
      </c>
      <c r="C104">
        <v>-66.094994999999997</v>
      </c>
    </row>
    <row r="105" spans="1:3" x14ac:dyDescent="0.25">
      <c r="A105" s="4" t="s">
        <v>141</v>
      </c>
      <c r="B105">
        <v>18.452553000000002</v>
      </c>
      <c r="C105">
        <v>-66.077838</v>
      </c>
    </row>
    <row r="106" spans="1:3" x14ac:dyDescent="0.25">
      <c r="A106" s="4" t="s">
        <v>142</v>
      </c>
      <c r="B106">
        <v>18.441610000000001</v>
      </c>
      <c r="C106">
        <v>-66.067132000000001</v>
      </c>
    </row>
    <row r="107" spans="1:3" x14ac:dyDescent="0.25">
      <c r="A107" s="4" t="s">
        <v>143</v>
      </c>
      <c r="B107">
        <v>18.451159000000001</v>
      </c>
      <c r="C107">
        <v>-66.056199000000007</v>
      </c>
    </row>
    <row r="108" spans="1:3" x14ac:dyDescent="0.25">
      <c r="A108" s="4" t="s">
        <v>144</v>
      </c>
      <c r="B108">
        <v>18.445328</v>
      </c>
      <c r="C108">
        <v>-66.060135000000002</v>
      </c>
    </row>
    <row r="109" spans="1:3" x14ac:dyDescent="0.25">
      <c r="A109" s="4" t="s">
        <v>145</v>
      </c>
      <c r="B109">
        <v>18.450002000000001</v>
      </c>
      <c r="C109">
        <v>-66.042655999999994</v>
      </c>
    </row>
    <row r="110" spans="1:3" x14ac:dyDescent="0.25">
      <c r="A110" s="4" t="s">
        <v>146</v>
      </c>
      <c r="B110">
        <v>18.437179</v>
      </c>
      <c r="C110">
        <v>-66.045570999999995</v>
      </c>
    </row>
    <row r="111" spans="1:3" x14ac:dyDescent="0.25">
      <c r="A111" s="4" t="s">
        <v>147</v>
      </c>
      <c r="B111">
        <v>18.420674000000002</v>
      </c>
      <c r="C111">
        <v>-66.050105000000002</v>
      </c>
    </row>
    <row r="112" spans="1:3" x14ac:dyDescent="0.25">
      <c r="A112" s="4" t="s">
        <v>148</v>
      </c>
      <c r="B112">
        <v>18.421022000000001</v>
      </c>
      <c r="C112">
        <v>-66.065788999999995</v>
      </c>
    </row>
    <row r="113" spans="1:3" x14ac:dyDescent="0.25">
      <c r="A113" s="4" t="s">
        <v>149</v>
      </c>
      <c r="B113">
        <v>18.414292</v>
      </c>
      <c r="C113">
        <v>-66.088042000000002</v>
      </c>
    </row>
    <row r="114" spans="1:3" x14ac:dyDescent="0.25">
      <c r="A114" s="4" t="s">
        <v>150</v>
      </c>
      <c r="B114">
        <v>18.392282000000002</v>
      </c>
      <c r="C114">
        <v>-66.088554999999999</v>
      </c>
    </row>
    <row r="115" spans="1:3" x14ac:dyDescent="0.25">
      <c r="A115" s="4" t="s">
        <v>151</v>
      </c>
      <c r="B115">
        <v>18.409306999999998</v>
      </c>
      <c r="C115">
        <v>-66.038888</v>
      </c>
    </row>
    <row r="116" spans="1:3" x14ac:dyDescent="0.25">
      <c r="A116" s="4" t="s">
        <v>152</v>
      </c>
      <c r="B116">
        <v>18.399191999999999</v>
      </c>
      <c r="C116">
        <v>-66.012452999999994</v>
      </c>
    </row>
    <row r="117" spans="1:3" x14ac:dyDescent="0.25">
      <c r="A117" s="4" t="s">
        <v>153</v>
      </c>
      <c r="B117">
        <v>18.400296000000001</v>
      </c>
      <c r="C117">
        <v>-66.050601999999998</v>
      </c>
    </row>
    <row r="118" spans="1:3" x14ac:dyDescent="0.25">
      <c r="A118" s="4" t="s">
        <v>154</v>
      </c>
      <c r="B118">
        <v>18.345400000000001</v>
      </c>
      <c r="C118">
        <v>-66.051545000000004</v>
      </c>
    </row>
    <row r="119" spans="1:3" x14ac:dyDescent="0.25">
      <c r="A119" s="4" t="s">
        <v>155</v>
      </c>
      <c r="B119">
        <v>18.388010999999999</v>
      </c>
      <c r="C119">
        <v>-66.072089000000005</v>
      </c>
    </row>
    <row r="120" spans="1:3" x14ac:dyDescent="0.25">
      <c r="A120" s="4" t="s">
        <v>156</v>
      </c>
      <c r="B120">
        <v>18.411313</v>
      </c>
      <c r="C120">
        <v>-66.124234000000001</v>
      </c>
    </row>
    <row r="121" spans="1:3" x14ac:dyDescent="0.25">
      <c r="A121" s="4" t="s">
        <v>157</v>
      </c>
      <c r="B121">
        <v>18.395462999999999</v>
      </c>
      <c r="C121">
        <v>-66.073772000000005</v>
      </c>
    </row>
    <row r="122" spans="1:3" x14ac:dyDescent="0.25">
      <c r="A122" s="4" t="s">
        <v>158</v>
      </c>
      <c r="B122">
        <v>18.430696000000001</v>
      </c>
      <c r="C122">
        <v>-66.212833000000003</v>
      </c>
    </row>
    <row r="123" spans="1:3" x14ac:dyDescent="0.25">
      <c r="A123" s="4" t="s">
        <v>159</v>
      </c>
      <c r="B123">
        <v>18.459699000000001</v>
      </c>
      <c r="C123">
        <v>-66.233101000000005</v>
      </c>
    </row>
    <row r="124" spans="1:3" x14ac:dyDescent="0.25">
      <c r="A124" s="4" t="s">
        <v>160</v>
      </c>
      <c r="B124">
        <v>18.427530000000001</v>
      </c>
      <c r="C124">
        <v>-66.253788999999998</v>
      </c>
    </row>
    <row r="125" spans="1:3" x14ac:dyDescent="0.25">
      <c r="A125" s="4" t="s">
        <v>161</v>
      </c>
      <c r="B125">
        <v>18.427447999999998</v>
      </c>
      <c r="C125">
        <v>-66.182025999999993</v>
      </c>
    </row>
    <row r="126" spans="1:3" x14ac:dyDescent="0.25">
      <c r="A126" s="4" t="s">
        <v>162</v>
      </c>
      <c r="B126">
        <v>18.360728999999999</v>
      </c>
      <c r="C126">
        <v>-66.251526999999996</v>
      </c>
    </row>
    <row r="127" spans="1:3" x14ac:dyDescent="0.25">
      <c r="A127" s="4" t="s">
        <v>163</v>
      </c>
      <c r="B127">
        <v>18.321137</v>
      </c>
      <c r="C127">
        <v>-66.170418999999995</v>
      </c>
    </row>
    <row r="128" spans="1:3" x14ac:dyDescent="0.25">
      <c r="A128" s="4" t="s">
        <v>164</v>
      </c>
      <c r="B128">
        <v>18.368414000000001</v>
      </c>
      <c r="C128">
        <v>-66.187692999999996</v>
      </c>
    </row>
    <row r="129" spans="1:3" x14ac:dyDescent="0.25">
      <c r="A129" s="4" t="s">
        <v>165</v>
      </c>
      <c r="B129">
        <v>18.391819999999999</v>
      </c>
      <c r="C129">
        <v>-66.154563999999993</v>
      </c>
    </row>
    <row r="130" spans="1:3" x14ac:dyDescent="0.25">
      <c r="A130" s="4" t="s">
        <v>166</v>
      </c>
      <c r="B130">
        <v>18.416919</v>
      </c>
      <c r="C130">
        <v>-66.145795000000007</v>
      </c>
    </row>
    <row r="131" spans="1:3" x14ac:dyDescent="0.25">
      <c r="A131" s="4" t="s">
        <v>167</v>
      </c>
      <c r="B131">
        <v>18.413285999999999</v>
      </c>
      <c r="C131">
        <v>-66.164617000000007</v>
      </c>
    </row>
    <row r="132" spans="1:3" x14ac:dyDescent="0.25">
      <c r="A132" s="4" t="s">
        <v>168</v>
      </c>
      <c r="B132">
        <v>18.444614000000001</v>
      </c>
      <c r="C132">
        <v>-66.148838999999995</v>
      </c>
    </row>
    <row r="133" spans="1:3" x14ac:dyDescent="0.25">
      <c r="A133" s="4" t="s">
        <v>169</v>
      </c>
      <c r="B133">
        <v>18.433757</v>
      </c>
      <c r="C133">
        <v>-66.114751999999996</v>
      </c>
    </row>
    <row r="134" spans="1:3" x14ac:dyDescent="0.25">
      <c r="A134" s="4" t="s">
        <v>170</v>
      </c>
      <c r="B134">
        <v>18.401520999999999</v>
      </c>
      <c r="C134">
        <v>-66.117597000000004</v>
      </c>
    </row>
    <row r="135" spans="1:3" x14ac:dyDescent="0.25">
      <c r="A135" s="4" t="s">
        <v>171</v>
      </c>
      <c r="B135">
        <v>18.406085000000001</v>
      </c>
      <c r="C135">
        <v>-66.101231999999996</v>
      </c>
    </row>
    <row r="136" spans="1:3" x14ac:dyDescent="0.25">
      <c r="A136" s="4" t="s">
        <v>172</v>
      </c>
      <c r="B136">
        <v>18.368061999999998</v>
      </c>
      <c r="C136">
        <v>-66.108062000000004</v>
      </c>
    </row>
    <row r="137" spans="1:3" x14ac:dyDescent="0.25">
      <c r="A137" s="4" t="s">
        <v>173</v>
      </c>
      <c r="B137">
        <v>18.318884000000001</v>
      </c>
      <c r="C137">
        <v>-66.119190000000003</v>
      </c>
    </row>
    <row r="138" spans="1:3" x14ac:dyDescent="0.25">
      <c r="A138" s="4" t="s">
        <v>174</v>
      </c>
      <c r="B138">
        <v>18.336175999999998</v>
      </c>
      <c r="C138">
        <v>-65.994099000000006</v>
      </c>
    </row>
    <row r="139" spans="1:3" x14ac:dyDescent="0.25">
      <c r="A139" s="4" t="s">
        <v>175</v>
      </c>
      <c r="B139">
        <v>18.444393999999999</v>
      </c>
      <c r="C139">
        <v>-66.030035999999996</v>
      </c>
    </row>
    <row r="140" spans="1:3" x14ac:dyDescent="0.25">
      <c r="A140" s="4" t="s">
        <v>176</v>
      </c>
      <c r="B140">
        <v>18.411261</v>
      </c>
      <c r="C140">
        <v>-65.992045000000005</v>
      </c>
    </row>
    <row r="141" spans="1:3" x14ac:dyDescent="0.25">
      <c r="A141" s="4" t="s">
        <v>177</v>
      </c>
      <c r="B141">
        <v>18.417815999999998</v>
      </c>
      <c r="C141">
        <v>-65.975819000000001</v>
      </c>
    </row>
    <row r="142" spans="1:3" x14ac:dyDescent="0.25">
      <c r="A142" s="4" t="s">
        <v>178</v>
      </c>
      <c r="B142">
        <v>18.410769999999999</v>
      </c>
      <c r="C142">
        <v>-65.947928000000005</v>
      </c>
    </row>
    <row r="143" spans="1:3" x14ac:dyDescent="0.25">
      <c r="A143" s="4" t="s">
        <v>179</v>
      </c>
      <c r="B143">
        <v>18.338160999999999</v>
      </c>
      <c r="C143">
        <v>-65.941083000000006</v>
      </c>
    </row>
    <row r="144" spans="1:3" x14ac:dyDescent="0.25">
      <c r="A144" s="4" t="s">
        <v>180</v>
      </c>
      <c r="B144">
        <v>42.062367999999999</v>
      </c>
      <c r="C144">
        <v>-72.625754000000001</v>
      </c>
    </row>
    <row r="145" spans="1:3" x14ac:dyDescent="0.25">
      <c r="A145" s="4" t="s">
        <v>181</v>
      </c>
      <c r="B145">
        <v>42.364061</v>
      </c>
      <c r="C145">
        <v>-72.458738999999994</v>
      </c>
    </row>
    <row r="146" spans="1:3" x14ac:dyDescent="0.25">
      <c r="A146" s="4" t="s">
        <v>182</v>
      </c>
      <c r="B146">
        <v>42.389941</v>
      </c>
      <c r="C146">
        <v>-72.524107999999998</v>
      </c>
    </row>
    <row r="147" spans="1:3" x14ac:dyDescent="0.25">
      <c r="A147" s="4" t="s">
        <v>183</v>
      </c>
      <c r="B147">
        <v>42.418847999999997</v>
      </c>
      <c r="C147">
        <v>-72.106598000000005</v>
      </c>
    </row>
    <row r="148" spans="1:3" x14ac:dyDescent="0.25">
      <c r="A148" s="4" t="s">
        <v>184</v>
      </c>
      <c r="B148">
        <v>42.27901</v>
      </c>
      <c r="C148">
        <v>-72.400468000000004</v>
      </c>
    </row>
    <row r="149" spans="1:3" x14ac:dyDescent="0.25">
      <c r="A149" s="4" t="s">
        <v>185</v>
      </c>
      <c r="B149">
        <v>42.190143999999997</v>
      </c>
      <c r="C149">
        <v>-72.954350000000005</v>
      </c>
    </row>
    <row r="150" spans="1:3" x14ac:dyDescent="0.25">
      <c r="A150" s="4" t="s">
        <v>186</v>
      </c>
      <c r="B150">
        <v>42.211969000000003</v>
      </c>
      <c r="C150">
        <v>-72.341432999999995</v>
      </c>
    </row>
    <row r="151" spans="1:3" x14ac:dyDescent="0.25">
      <c r="A151" s="4" t="s">
        <v>187</v>
      </c>
      <c r="B151">
        <v>42.128176000000003</v>
      </c>
      <c r="C151">
        <v>-72.205352000000005</v>
      </c>
    </row>
    <row r="152" spans="1:3" x14ac:dyDescent="0.25">
      <c r="A152" s="4" t="s">
        <v>188</v>
      </c>
      <c r="B152">
        <v>42.300280999999998</v>
      </c>
      <c r="C152">
        <v>-72.968716000000001</v>
      </c>
    </row>
    <row r="153" spans="1:3" x14ac:dyDescent="0.25">
      <c r="A153" s="4" t="s">
        <v>189</v>
      </c>
      <c r="B153">
        <v>42.375425</v>
      </c>
      <c r="C153">
        <v>-72.858192000000003</v>
      </c>
    </row>
    <row r="154" spans="1:3" x14ac:dyDescent="0.25">
      <c r="A154" s="4" t="s">
        <v>190</v>
      </c>
      <c r="B154">
        <v>42.154904000000002</v>
      </c>
      <c r="C154">
        <v>-72.602804000000006</v>
      </c>
    </row>
    <row r="155" spans="1:3" x14ac:dyDescent="0.25">
      <c r="A155" s="4" t="s">
        <v>191</v>
      </c>
      <c r="B155">
        <v>42.172601999999998</v>
      </c>
      <c r="C155">
        <v>-72.562072999999998</v>
      </c>
    </row>
    <row r="156" spans="1:3" x14ac:dyDescent="0.25">
      <c r="A156" s="4" t="s">
        <v>192</v>
      </c>
      <c r="B156">
        <v>42.197741000000001</v>
      </c>
      <c r="C156">
        <v>-72.542713000000006</v>
      </c>
    </row>
    <row r="157" spans="1:3" x14ac:dyDescent="0.25">
      <c r="A157" s="4" t="s">
        <v>193</v>
      </c>
      <c r="B157">
        <v>42.465494999999997</v>
      </c>
      <c r="C157">
        <v>-72.918267</v>
      </c>
    </row>
    <row r="158" spans="1:3" x14ac:dyDescent="0.25">
      <c r="A158" s="4" t="s">
        <v>194</v>
      </c>
      <c r="B158">
        <v>42.295008000000003</v>
      </c>
      <c r="C158">
        <v>-72.751876999999993</v>
      </c>
    </row>
    <row r="159" spans="1:3" x14ac:dyDescent="0.25">
      <c r="A159" s="4" t="s">
        <v>195</v>
      </c>
      <c r="B159">
        <v>42.062378000000002</v>
      </c>
      <c r="C159">
        <v>-72.498110999999994</v>
      </c>
    </row>
    <row r="160" spans="1:3" x14ac:dyDescent="0.25">
      <c r="A160" s="4" t="s">
        <v>196</v>
      </c>
      <c r="B160">
        <v>42.193395000000002</v>
      </c>
      <c r="C160">
        <v>-73.044646999999998</v>
      </c>
    </row>
    <row r="161" spans="1:3" x14ac:dyDescent="0.25">
      <c r="A161" s="4" t="s">
        <v>197</v>
      </c>
      <c r="B161">
        <v>42.072924999999998</v>
      </c>
      <c r="C161">
        <v>-72.686971999999997</v>
      </c>
    </row>
    <row r="162" spans="1:3" x14ac:dyDescent="0.25">
      <c r="A162" s="4" t="s">
        <v>198</v>
      </c>
      <c r="B162">
        <v>42.329399000000002</v>
      </c>
      <c r="C162">
        <v>-72.198187000000004</v>
      </c>
    </row>
    <row r="163" spans="1:3" x14ac:dyDescent="0.25">
      <c r="A163" s="4" t="s">
        <v>199</v>
      </c>
      <c r="B163">
        <v>42.457613000000002</v>
      </c>
      <c r="C163">
        <v>-72.814779999999999</v>
      </c>
    </row>
    <row r="164" spans="1:3" x14ac:dyDescent="0.25">
      <c r="A164" s="4" t="s">
        <v>200</v>
      </c>
      <c r="B164">
        <v>42.244948999999998</v>
      </c>
      <c r="C164">
        <v>-72.500142999999994</v>
      </c>
    </row>
    <row r="165" spans="1:3" x14ac:dyDescent="0.25">
      <c r="A165" s="4" t="s">
        <v>201</v>
      </c>
      <c r="B165">
        <v>42.098675999999998</v>
      </c>
      <c r="C165">
        <v>-72.961563999999996</v>
      </c>
    </row>
    <row r="166" spans="1:3" x14ac:dyDescent="0.25">
      <c r="A166" s="4" t="s">
        <v>202</v>
      </c>
      <c r="B166">
        <v>42.356490999999998</v>
      </c>
      <c r="C166">
        <v>-72.568631999999994</v>
      </c>
    </row>
    <row r="167" spans="1:3" x14ac:dyDescent="0.25">
      <c r="A167" s="4" t="s">
        <v>203</v>
      </c>
      <c r="B167">
        <v>42.062945999999997</v>
      </c>
      <c r="C167">
        <v>-72.417297000000005</v>
      </c>
    </row>
    <row r="168" spans="1:3" x14ac:dyDescent="0.25">
      <c r="A168" s="4" t="s">
        <v>204</v>
      </c>
      <c r="B168">
        <v>42.372728000000002</v>
      </c>
      <c r="C168">
        <v>-72.195412000000005</v>
      </c>
    </row>
    <row r="169" spans="1:3" x14ac:dyDescent="0.25">
      <c r="A169" s="4" t="s">
        <v>205</v>
      </c>
      <c r="B169">
        <v>42.385496000000003</v>
      </c>
      <c r="C169">
        <v>-72.606928999999994</v>
      </c>
    </row>
    <row r="170" spans="1:3" x14ac:dyDescent="0.25">
      <c r="A170" s="4" t="s">
        <v>206</v>
      </c>
      <c r="B170">
        <v>42.404277999999998</v>
      </c>
      <c r="C170">
        <v>-72.688922000000005</v>
      </c>
    </row>
    <row r="171" spans="1:3" x14ac:dyDescent="0.25">
      <c r="A171" s="4" t="s">
        <v>207</v>
      </c>
      <c r="B171">
        <v>42.211655999999998</v>
      </c>
      <c r="C171">
        <v>-72.642448000000002</v>
      </c>
    </row>
    <row r="172" spans="1:3" x14ac:dyDescent="0.25">
      <c r="A172" s="4" t="s">
        <v>208</v>
      </c>
      <c r="B172">
        <v>42.286762000000003</v>
      </c>
      <c r="C172">
        <v>-72.869694999999993</v>
      </c>
    </row>
    <row r="173" spans="1:3" x14ac:dyDescent="0.25">
      <c r="A173" s="4" t="s">
        <v>209</v>
      </c>
      <c r="B173">
        <v>42.356301000000002</v>
      </c>
      <c r="C173">
        <v>-72.713583999999997</v>
      </c>
    </row>
    <row r="174" spans="1:3" x14ac:dyDescent="0.25">
      <c r="A174" s="4" t="s">
        <v>210</v>
      </c>
      <c r="B174">
        <v>42.468898000000003</v>
      </c>
      <c r="C174">
        <v>-72.484578999999997</v>
      </c>
    </row>
    <row r="175" spans="1:3" x14ac:dyDescent="0.25">
      <c r="A175" s="4" t="s">
        <v>211</v>
      </c>
      <c r="B175">
        <v>42.183577</v>
      </c>
      <c r="C175">
        <v>-72.457812000000004</v>
      </c>
    </row>
    <row r="176" spans="1:3" x14ac:dyDescent="0.25">
      <c r="A176" s="4" t="s">
        <v>212</v>
      </c>
      <c r="B176">
        <v>42.093595999999998</v>
      </c>
      <c r="C176">
        <v>-72.321494000000001</v>
      </c>
    </row>
    <row r="177" spans="1:3" x14ac:dyDescent="0.25">
      <c r="A177" s="4" t="s">
        <v>213</v>
      </c>
      <c r="B177">
        <v>42.321488000000002</v>
      </c>
      <c r="C177">
        <v>-72.630588000000003</v>
      </c>
    </row>
    <row r="178" spans="1:3" x14ac:dyDescent="0.25">
      <c r="A178" s="4" t="s">
        <v>214</v>
      </c>
      <c r="B178">
        <v>42.328308</v>
      </c>
      <c r="C178">
        <v>-72.703924000000001</v>
      </c>
    </row>
    <row r="179" spans="1:3" x14ac:dyDescent="0.25">
      <c r="A179" s="4" t="s">
        <v>215</v>
      </c>
      <c r="B179">
        <v>42.318882000000002</v>
      </c>
      <c r="C179">
        <v>-72.638530000000003</v>
      </c>
    </row>
    <row r="180" spans="1:3" x14ac:dyDescent="0.25">
      <c r="A180" s="4" t="s">
        <v>216</v>
      </c>
      <c r="B180">
        <v>42.406903</v>
      </c>
      <c r="C180">
        <v>-72.655017999999998</v>
      </c>
    </row>
    <row r="181" spans="1:3" x14ac:dyDescent="0.25">
      <c r="A181" s="4" t="s">
        <v>217</v>
      </c>
      <c r="B181">
        <v>42.350861999999999</v>
      </c>
      <c r="C181">
        <v>-72.044247999999996</v>
      </c>
    </row>
    <row r="182" spans="1:3" x14ac:dyDescent="0.25">
      <c r="A182" s="4" t="s">
        <v>218</v>
      </c>
      <c r="B182">
        <v>42.187793999999997</v>
      </c>
      <c r="C182">
        <v>-72.308469000000002</v>
      </c>
    </row>
    <row r="183" spans="1:3" x14ac:dyDescent="0.25">
      <c r="A183" s="4" t="s">
        <v>219</v>
      </c>
      <c r="B183">
        <v>42.518445999999997</v>
      </c>
      <c r="C183">
        <v>-72.919016999999997</v>
      </c>
    </row>
    <row r="184" spans="1:3" x14ac:dyDescent="0.25">
      <c r="A184" s="4" t="s">
        <v>220</v>
      </c>
      <c r="B184">
        <v>42.160060000000001</v>
      </c>
      <c r="C184">
        <v>-72.873852999999997</v>
      </c>
    </row>
    <row r="185" spans="1:3" x14ac:dyDescent="0.25">
      <c r="A185" s="4" t="s">
        <v>221</v>
      </c>
      <c r="B185">
        <v>42.456968000000003</v>
      </c>
      <c r="C185">
        <v>-72.417243999999997</v>
      </c>
    </row>
    <row r="186" spans="1:3" x14ac:dyDescent="0.25">
      <c r="A186" s="4" t="s">
        <v>222</v>
      </c>
      <c r="B186">
        <v>42.226948999999998</v>
      </c>
      <c r="C186">
        <v>-72.741587999999993</v>
      </c>
    </row>
    <row r="187" spans="1:3" x14ac:dyDescent="0.25">
      <c r="A187" s="4" t="s">
        <v>223</v>
      </c>
      <c r="B187">
        <v>42.387602999999999</v>
      </c>
      <c r="C187">
        <v>-72.093230000000005</v>
      </c>
    </row>
    <row r="188" spans="1:3" x14ac:dyDescent="0.25">
      <c r="A188" s="4" t="s">
        <v>224</v>
      </c>
      <c r="B188">
        <v>42.256208000000001</v>
      </c>
      <c r="C188">
        <v>-72.581029999999998</v>
      </c>
    </row>
    <row r="189" spans="1:3" x14ac:dyDescent="0.25">
      <c r="A189" s="4" t="s">
        <v>225</v>
      </c>
      <c r="B189">
        <v>42.052570000000003</v>
      </c>
      <c r="C189">
        <v>-72.777353000000005</v>
      </c>
    </row>
    <row r="190" spans="1:3" x14ac:dyDescent="0.25">
      <c r="A190" s="4" t="s">
        <v>226</v>
      </c>
      <c r="B190">
        <v>42.197913</v>
      </c>
      <c r="C190">
        <v>-72.329708999999994</v>
      </c>
    </row>
    <row r="191" spans="1:3" x14ac:dyDescent="0.25">
      <c r="A191" s="4" t="s">
        <v>227</v>
      </c>
      <c r="B191">
        <v>42.185727</v>
      </c>
      <c r="C191">
        <v>-72.361558000000002</v>
      </c>
    </row>
    <row r="192" spans="1:3" x14ac:dyDescent="0.25">
      <c r="A192" s="4" t="s">
        <v>228</v>
      </c>
      <c r="B192">
        <v>42.061312999999998</v>
      </c>
      <c r="C192">
        <v>-72.234410999999994</v>
      </c>
    </row>
    <row r="193" spans="1:3" x14ac:dyDescent="0.25">
      <c r="A193" s="4" t="s">
        <v>229</v>
      </c>
      <c r="B193">
        <v>42.293532999999996</v>
      </c>
      <c r="C193">
        <v>-72.278599</v>
      </c>
    </row>
    <row r="194" spans="1:3" x14ac:dyDescent="0.25">
      <c r="A194" s="4" t="s">
        <v>230</v>
      </c>
      <c r="B194">
        <v>42.203642000000002</v>
      </c>
      <c r="C194">
        <v>-72.194598999999997</v>
      </c>
    </row>
    <row r="195" spans="1:3" x14ac:dyDescent="0.25">
      <c r="A195" s="4" t="s">
        <v>231</v>
      </c>
      <c r="B195">
        <v>42.39237</v>
      </c>
      <c r="C195">
        <v>-72.882234999999994</v>
      </c>
    </row>
    <row r="196" spans="1:3" x14ac:dyDescent="0.25">
      <c r="A196" s="4" t="s">
        <v>232</v>
      </c>
      <c r="B196">
        <v>42.153503000000001</v>
      </c>
      <c r="C196">
        <v>-72.771602000000001</v>
      </c>
    </row>
    <row r="197" spans="1:3" x14ac:dyDescent="0.25">
      <c r="A197" s="4" t="s">
        <v>233</v>
      </c>
      <c r="B197">
        <v>42.130445999999999</v>
      </c>
      <c r="C197">
        <v>-72.793966999999995</v>
      </c>
    </row>
    <row r="198" spans="1:3" x14ac:dyDescent="0.25">
      <c r="A198" s="4" t="s">
        <v>234</v>
      </c>
      <c r="B198">
        <v>42.391708999999999</v>
      </c>
      <c r="C198">
        <v>-72.646494000000004</v>
      </c>
    </row>
    <row r="199" spans="1:3" x14ac:dyDescent="0.25">
      <c r="A199" s="4" t="s">
        <v>235</v>
      </c>
      <c r="B199">
        <v>42.125450999999998</v>
      </c>
      <c r="C199">
        <v>-72.649733999999995</v>
      </c>
    </row>
    <row r="200" spans="1:3" x14ac:dyDescent="0.25">
      <c r="A200" s="4" t="s">
        <v>236</v>
      </c>
      <c r="B200">
        <v>42.191867999999999</v>
      </c>
      <c r="C200">
        <v>-72.235107999999997</v>
      </c>
    </row>
    <row r="201" spans="1:3" x14ac:dyDescent="0.25">
      <c r="A201" s="4" t="s">
        <v>237</v>
      </c>
      <c r="B201">
        <v>42.441943000000002</v>
      </c>
      <c r="C201">
        <v>-72.661816999999999</v>
      </c>
    </row>
    <row r="202" spans="1:3" x14ac:dyDescent="0.25">
      <c r="A202" s="4" t="s">
        <v>238</v>
      </c>
      <c r="B202">
        <v>42.359107999999999</v>
      </c>
      <c r="C202">
        <v>-72.136799999999994</v>
      </c>
    </row>
    <row r="203" spans="1:3" x14ac:dyDescent="0.25">
      <c r="A203" s="4" t="s">
        <v>239</v>
      </c>
      <c r="B203">
        <v>42.138499000000003</v>
      </c>
      <c r="C203">
        <v>-72.420715000000001</v>
      </c>
    </row>
    <row r="204" spans="1:3" x14ac:dyDescent="0.25">
      <c r="A204" s="4" t="s">
        <v>240</v>
      </c>
      <c r="B204">
        <v>42.39714</v>
      </c>
      <c r="C204">
        <v>-72.763571999999996</v>
      </c>
    </row>
    <row r="205" spans="1:3" x14ac:dyDescent="0.25">
      <c r="A205" s="4" t="s">
        <v>241</v>
      </c>
      <c r="B205">
        <v>42.178038000000001</v>
      </c>
      <c r="C205">
        <v>-72.832611999999997</v>
      </c>
    </row>
    <row r="206" spans="1:3" x14ac:dyDescent="0.25">
      <c r="A206" s="4" t="s">
        <v>242</v>
      </c>
      <c r="B206">
        <v>42.394314999999999</v>
      </c>
      <c r="C206">
        <v>-72.943115000000006</v>
      </c>
    </row>
    <row r="207" spans="1:3" x14ac:dyDescent="0.25">
      <c r="A207" s="4" t="s">
        <v>243</v>
      </c>
      <c r="B207">
        <v>42.104106000000002</v>
      </c>
      <c r="C207">
        <v>-72.592027000000002</v>
      </c>
    </row>
    <row r="208" spans="1:3" x14ac:dyDescent="0.25">
      <c r="A208" s="4" t="s">
        <v>244</v>
      </c>
      <c r="B208">
        <v>42.134008999999999</v>
      </c>
      <c r="C208">
        <v>-72.565377999999995</v>
      </c>
    </row>
    <row r="209" spans="1:3" x14ac:dyDescent="0.25">
      <c r="A209" s="4" t="s">
        <v>245</v>
      </c>
      <c r="B209">
        <v>42.099958000000001</v>
      </c>
      <c r="C209">
        <v>-72.580765</v>
      </c>
    </row>
    <row r="210" spans="1:3" x14ac:dyDescent="0.25">
      <c r="A210" s="4" t="s">
        <v>246</v>
      </c>
      <c r="B210">
        <v>42.047564999999999</v>
      </c>
      <c r="C210">
        <v>-72.571129999999997</v>
      </c>
    </row>
    <row r="211" spans="1:3" x14ac:dyDescent="0.25">
      <c r="A211" s="4" t="s">
        <v>247</v>
      </c>
      <c r="B211">
        <v>42.12106</v>
      </c>
      <c r="C211">
        <v>-72.607067999999998</v>
      </c>
    </row>
    <row r="212" spans="1:3" x14ac:dyDescent="0.25">
      <c r="A212" s="4" t="s">
        <v>248</v>
      </c>
      <c r="B212">
        <v>42.080691999999999</v>
      </c>
      <c r="C212">
        <v>-72.560790999999995</v>
      </c>
    </row>
    <row r="213" spans="1:3" x14ac:dyDescent="0.25">
      <c r="A213" s="4" t="s">
        <v>249</v>
      </c>
      <c r="B213">
        <v>42.119674000000003</v>
      </c>
      <c r="C213">
        <v>-72.549726000000007</v>
      </c>
    </row>
    <row r="214" spans="1:3" x14ac:dyDescent="0.25">
      <c r="A214" s="4" t="s">
        <v>250</v>
      </c>
      <c r="B214">
        <v>42.094194000000002</v>
      </c>
      <c r="C214">
        <v>-72.525081</v>
      </c>
    </row>
    <row r="215" spans="1:3" x14ac:dyDescent="0.25">
      <c r="A215" s="4" t="s">
        <v>251</v>
      </c>
      <c r="B215">
        <v>42.124977999999999</v>
      </c>
      <c r="C215">
        <v>-72.511210000000005</v>
      </c>
    </row>
    <row r="216" spans="1:3" x14ac:dyDescent="0.25">
      <c r="A216" s="4" t="s">
        <v>252</v>
      </c>
      <c r="B216">
        <v>42.092295999999997</v>
      </c>
      <c r="C216">
        <v>-72.489135000000005</v>
      </c>
    </row>
    <row r="217" spans="1:3" x14ac:dyDescent="0.25">
      <c r="A217" s="4" t="s">
        <v>253</v>
      </c>
      <c r="B217">
        <v>42.118690000000001</v>
      </c>
      <c r="C217">
        <v>-72.488200000000006</v>
      </c>
    </row>
    <row r="218" spans="1:3" x14ac:dyDescent="0.25">
      <c r="A218" s="4" t="s">
        <v>254</v>
      </c>
      <c r="B218">
        <v>42.151859999999999</v>
      </c>
      <c r="C218">
        <v>-72.509130999999996</v>
      </c>
    </row>
    <row r="219" spans="1:3" x14ac:dyDescent="0.25">
      <c r="A219" s="4" t="s">
        <v>255</v>
      </c>
      <c r="B219">
        <v>42.120562999999997</v>
      </c>
      <c r="C219">
        <v>-72.604467999999997</v>
      </c>
    </row>
    <row r="220" spans="1:3" x14ac:dyDescent="0.25">
      <c r="A220" s="4" t="s">
        <v>256</v>
      </c>
      <c r="B220">
        <v>42.448236000000001</v>
      </c>
      <c r="C220">
        <v>-73.273726999999994</v>
      </c>
    </row>
    <row r="221" spans="1:3" x14ac:dyDescent="0.25">
      <c r="A221" s="4" t="s">
        <v>257</v>
      </c>
      <c r="B221">
        <v>42.623798999999998</v>
      </c>
      <c r="C221">
        <v>-73.116736000000003</v>
      </c>
    </row>
    <row r="222" spans="1:3" x14ac:dyDescent="0.25">
      <c r="A222" s="4" t="s">
        <v>258</v>
      </c>
      <c r="B222">
        <v>42.058703000000001</v>
      </c>
      <c r="C222">
        <v>-73.322175000000001</v>
      </c>
    </row>
    <row r="223" spans="1:3" x14ac:dyDescent="0.25">
      <c r="A223" s="4" t="s">
        <v>259</v>
      </c>
      <c r="B223">
        <v>42.312224999999998</v>
      </c>
      <c r="C223">
        <v>-73.110123999999999</v>
      </c>
    </row>
    <row r="224" spans="1:3" x14ac:dyDescent="0.25">
      <c r="A224" s="4" t="s">
        <v>260</v>
      </c>
      <c r="B224">
        <v>42.513162999999999</v>
      </c>
      <c r="C224">
        <v>-73.195742999999993</v>
      </c>
    </row>
    <row r="225" spans="1:3" x14ac:dyDescent="0.25">
      <c r="A225" s="4" t="s">
        <v>261</v>
      </c>
      <c r="B225">
        <v>42.563400999999999</v>
      </c>
      <c r="C225">
        <v>-73.153334999999998</v>
      </c>
    </row>
    <row r="226" spans="1:3" x14ac:dyDescent="0.25">
      <c r="A226" s="4" t="s">
        <v>262</v>
      </c>
      <c r="B226">
        <v>42.481119</v>
      </c>
      <c r="C226">
        <v>-73.135073000000006</v>
      </c>
    </row>
    <row r="227" spans="1:3" x14ac:dyDescent="0.25">
      <c r="A227" s="4" t="s">
        <v>263</v>
      </c>
      <c r="B227">
        <v>42.276338000000003</v>
      </c>
      <c r="C227">
        <v>-73.335896000000005</v>
      </c>
    </row>
    <row r="228" spans="1:3" x14ac:dyDescent="0.25">
      <c r="A228" s="4" t="s">
        <v>264</v>
      </c>
      <c r="B228">
        <v>42.173192</v>
      </c>
      <c r="C228">
        <v>-73.324282999999994</v>
      </c>
    </row>
    <row r="229" spans="1:3" x14ac:dyDescent="0.25">
      <c r="A229" s="4" t="s">
        <v>265</v>
      </c>
      <c r="B229">
        <v>42.425676000000003</v>
      </c>
      <c r="C229">
        <v>-73.063012000000001</v>
      </c>
    </row>
    <row r="230" spans="1:3" x14ac:dyDescent="0.25">
      <c r="A230" s="4" t="s">
        <v>266</v>
      </c>
      <c r="B230">
        <v>42.266495999999997</v>
      </c>
      <c r="C230">
        <v>-73.378393000000003</v>
      </c>
    </row>
    <row r="231" spans="1:3" x14ac:dyDescent="0.25">
      <c r="A231" s="4" t="s">
        <v>267</v>
      </c>
      <c r="B231">
        <v>42.547817999999999</v>
      </c>
      <c r="C231">
        <v>-73.268033000000003</v>
      </c>
    </row>
    <row r="232" spans="1:3" x14ac:dyDescent="0.25">
      <c r="A232" s="4" t="s">
        <v>268</v>
      </c>
      <c r="B232">
        <v>42.297500999999997</v>
      </c>
      <c r="C232">
        <v>-73.230148</v>
      </c>
    </row>
    <row r="233" spans="1:3" x14ac:dyDescent="0.25">
      <c r="A233" s="4" t="s">
        <v>269</v>
      </c>
      <c r="B233">
        <v>42.367857999999998</v>
      </c>
      <c r="C233">
        <v>-73.269762999999998</v>
      </c>
    </row>
    <row r="234" spans="1:3" x14ac:dyDescent="0.25">
      <c r="A234" s="4" t="s">
        <v>270</v>
      </c>
      <c r="B234">
        <v>42.333734</v>
      </c>
      <c r="C234">
        <v>-73.249199000000004</v>
      </c>
    </row>
    <row r="235" spans="1:3" x14ac:dyDescent="0.25">
      <c r="A235" s="4" t="s">
        <v>271</v>
      </c>
      <c r="B235">
        <v>42.350121999999999</v>
      </c>
      <c r="C235">
        <v>-73.024112000000002</v>
      </c>
    </row>
    <row r="236" spans="1:3" x14ac:dyDescent="0.25">
      <c r="A236" s="4" t="s">
        <v>272</v>
      </c>
      <c r="B236">
        <v>42.118093999999999</v>
      </c>
      <c r="C236">
        <v>-73.257497000000001</v>
      </c>
    </row>
    <row r="237" spans="1:3" x14ac:dyDescent="0.25">
      <c r="A237" s="4" t="s">
        <v>273</v>
      </c>
      <c r="B237">
        <v>42.186892999999998</v>
      </c>
      <c r="C237">
        <v>-73.223105000000004</v>
      </c>
    </row>
    <row r="238" spans="1:3" x14ac:dyDescent="0.25">
      <c r="A238" s="4" t="s">
        <v>274</v>
      </c>
      <c r="B238">
        <v>42.698526000000001</v>
      </c>
      <c r="C238">
        <v>-73.084299999999999</v>
      </c>
    </row>
    <row r="239" spans="1:3" x14ac:dyDescent="0.25">
      <c r="A239" s="4" t="s">
        <v>275</v>
      </c>
      <c r="B239">
        <v>42.206682999999998</v>
      </c>
      <c r="C239">
        <v>-73.113213999999999</v>
      </c>
    </row>
    <row r="240" spans="1:3" x14ac:dyDescent="0.25">
      <c r="A240" s="4" t="s">
        <v>276</v>
      </c>
      <c r="B240">
        <v>42.382019</v>
      </c>
      <c r="C240">
        <v>-73.365492000000003</v>
      </c>
    </row>
    <row r="241" spans="1:3" x14ac:dyDescent="0.25">
      <c r="A241" s="4" t="s">
        <v>277</v>
      </c>
      <c r="B241">
        <v>42.107495999999998</v>
      </c>
      <c r="C241">
        <v>-73.118606999999997</v>
      </c>
    </row>
    <row r="242" spans="1:3" x14ac:dyDescent="0.25">
      <c r="A242" s="4" t="s">
        <v>278</v>
      </c>
      <c r="B242">
        <v>42.594166000000001</v>
      </c>
      <c r="C242">
        <v>-73.022319999999993</v>
      </c>
    </row>
    <row r="243" spans="1:3" x14ac:dyDescent="0.25">
      <c r="A243" s="4" t="s">
        <v>279</v>
      </c>
      <c r="B243">
        <v>42.085244000000003</v>
      </c>
      <c r="C243">
        <v>-73.367482999999993</v>
      </c>
    </row>
    <row r="244" spans="1:3" x14ac:dyDescent="0.25">
      <c r="A244" s="4" t="s">
        <v>280</v>
      </c>
      <c r="B244">
        <v>42.109279999999998</v>
      </c>
      <c r="C244">
        <v>-73.462885999999997</v>
      </c>
    </row>
    <row r="245" spans="1:3" x14ac:dyDescent="0.25">
      <c r="A245" s="4" t="s">
        <v>281</v>
      </c>
      <c r="B245">
        <v>42.075468999999998</v>
      </c>
      <c r="C245">
        <v>-73.234375999999997</v>
      </c>
    </row>
    <row r="246" spans="1:3" x14ac:dyDescent="0.25">
      <c r="A246" s="4" t="s">
        <v>282</v>
      </c>
      <c r="B246">
        <v>42.295696</v>
      </c>
      <c r="C246">
        <v>-73.342543000000006</v>
      </c>
    </row>
    <row r="247" spans="1:3" x14ac:dyDescent="0.25">
      <c r="A247" s="4" t="s">
        <v>283</v>
      </c>
      <c r="B247">
        <v>42.292202000000003</v>
      </c>
      <c r="C247">
        <v>-73.319209000000001</v>
      </c>
    </row>
    <row r="248" spans="1:3" x14ac:dyDescent="0.25">
      <c r="A248" s="4" t="s">
        <v>284</v>
      </c>
      <c r="B248">
        <v>42.231589999999997</v>
      </c>
      <c r="C248">
        <v>-73.202427999999998</v>
      </c>
    </row>
    <row r="249" spans="1:3" x14ac:dyDescent="0.25">
      <c r="A249" s="4" t="s">
        <v>285</v>
      </c>
      <c r="B249">
        <v>42.312353999999999</v>
      </c>
      <c r="C249">
        <v>-73.388043999999994</v>
      </c>
    </row>
    <row r="250" spans="1:3" x14ac:dyDescent="0.25">
      <c r="A250" s="4" t="s">
        <v>286</v>
      </c>
      <c r="B250">
        <v>42.671616999999998</v>
      </c>
      <c r="C250">
        <v>-73.246981000000005</v>
      </c>
    </row>
    <row r="251" spans="1:3" x14ac:dyDescent="0.25">
      <c r="A251" s="4" t="s">
        <v>287</v>
      </c>
      <c r="B251">
        <v>42.515272000000003</v>
      </c>
      <c r="C251">
        <v>-73.031165999999999</v>
      </c>
    </row>
    <row r="252" spans="1:3" x14ac:dyDescent="0.25">
      <c r="A252" s="4" t="s">
        <v>288</v>
      </c>
      <c r="B252">
        <v>42.626761000000002</v>
      </c>
      <c r="C252">
        <v>-72.601529999999997</v>
      </c>
    </row>
    <row r="253" spans="1:3" x14ac:dyDescent="0.25">
      <c r="A253" s="4" t="s">
        <v>289</v>
      </c>
      <c r="B253">
        <v>42.513947000000002</v>
      </c>
      <c r="C253">
        <v>-72.821517</v>
      </c>
    </row>
    <row r="254" spans="1:3" x14ac:dyDescent="0.25">
      <c r="A254" s="4" t="s">
        <v>290</v>
      </c>
      <c r="B254">
        <v>42.562407999999998</v>
      </c>
      <c r="C254">
        <v>-72.191079999999999</v>
      </c>
    </row>
    <row r="255" spans="1:3" x14ac:dyDescent="0.25">
      <c r="A255" s="4" t="s">
        <v>291</v>
      </c>
      <c r="B255">
        <v>42.689306999999999</v>
      </c>
      <c r="C255">
        <v>-72.582249000000004</v>
      </c>
    </row>
    <row r="256" spans="1:3" x14ac:dyDescent="0.25">
      <c r="A256" s="4" t="s">
        <v>292</v>
      </c>
      <c r="B256">
        <v>42.572603999999998</v>
      </c>
      <c r="C256">
        <v>-72.824306000000007</v>
      </c>
    </row>
    <row r="257" spans="1:3" x14ac:dyDescent="0.25">
      <c r="A257" s="4" t="s">
        <v>293</v>
      </c>
      <c r="B257">
        <v>42.603776000000003</v>
      </c>
      <c r="C257">
        <v>-72.889644000000004</v>
      </c>
    </row>
    <row r="258" spans="1:3" x14ac:dyDescent="0.25">
      <c r="A258" s="4" t="s">
        <v>294</v>
      </c>
      <c r="B258">
        <v>42.694730999999997</v>
      </c>
      <c r="C258">
        <v>-72.710955999999996</v>
      </c>
    </row>
    <row r="259" spans="1:3" x14ac:dyDescent="0.25">
      <c r="A259" s="4" t="s">
        <v>295</v>
      </c>
      <c r="B259">
        <v>42.496937000000003</v>
      </c>
      <c r="C259">
        <v>-72.709413999999995</v>
      </c>
    </row>
    <row r="260" spans="1:3" x14ac:dyDescent="0.25">
      <c r="A260" s="4" t="s">
        <v>296</v>
      </c>
      <c r="B260">
        <v>42.543889</v>
      </c>
      <c r="C260">
        <v>-72.609458000000004</v>
      </c>
    </row>
    <row r="261" spans="1:3" x14ac:dyDescent="0.25">
      <c r="A261" s="4" t="s">
        <v>297</v>
      </c>
      <c r="B261">
        <v>42.657625000000003</v>
      </c>
      <c r="C261">
        <v>-72.978932999999998</v>
      </c>
    </row>
    <row r="262" spans="1:3" x14ac:dyDescent="0.25">
      <c r="A262" s="4" t="s">
        <v>298</v>
      </c>
      <c r="B262">
        <v>42.613418000000003</v>
      </c>
      <c r="C262">
        <v>-72.426427000000004</v>
      </c>
    </row>
    <row r="263" spans="1:3" x14ac:dyDescent="0.25">
      <c r="A263" s="4" t="s">
        <v>299</v>
      </c>
      <c r="B263">
        <v>42.693275</v>
      </c>
      <c r="C263">
        <v>-72.823113000000006</v>
      </c>
    </row>
    <row r="264" spans="1:3" x14ac:dyDescent="0.25">
      <c r="A264" s="4" t="s">
        <v>300</v>
      </c>
      <c r="B264">
        <v>42.559294000000001</v>
      </c>
      <c r="C264">
        <v>-72.518753000000004</v>
      </c>
    </row>
    <row r="265" spans="1:3" x14ac:dyDescent="0.25">
      <c r="A265" s="4" t="s">
        <v>301</v>
      </c>
      <c r="B265">
        <v>42.563060999999998</v>
      </c>
      <c r="C265">
        <v>-72.482122000000004</v>
      </c>
    </row>
    <row r="266" spans="1:3" x14ac:dyDescent="0.25">
      <c r="A266" s="4" t="s">
        <v>302</v>
      </c>
      <c r="B266">
        <v>42.727772000000002</v>
      </c>
      <c r="C266">
        <v>-72.985346000000007</v>
      </c>
    </row>
    <row r="267" spans="1:3" x14ac:dyDescent="0.25">
      <c r="A267" s="4" t="s">
        <v>303</v>
      </c>
      <c r="B267">
        <v>42.539879999999997</v>
      </c>
      <c r="C267">
        <v>-72.521688999999995</v>
      </c>
    </row>
    <row r="268" spans="1:3" x14ac:dyDescent="0.25">
      <c r="A268" s="4" t="s">
        <v>304</v>
      </c>
      <c r="B268">
        <v>42.624076000000002</v>
      </c>
      <c r="C268">
        <v>-72.508643000000006</v>
      </c>
    </row>
    <row r="269" spans="1:3" x14ac:dyDescent="0.25">
      <c r="A269" s="4" t="s">
        <v>305</v>
      </c>
      <c r="B269">
        <v>42.458551</v>
      </c>
      <c r="C269">
        <v>-72.327190999999999</v>
      </c>
    </row>
    <row r="270" spans="1:3" x14ac:dyDescent="0.25">
      <c r="A270" s="4" t="s">
        <v>306</v>
      </c>
      <c r="B270">
        <v>42.677090999999997</v>
      </c>
      <c r="C270">
        <v>-72.453875999999994</v>
      </c>
    </row>
    <row r="271" spans="1:3" x14ac:dyDescent="0.25">
      <c r="A271" s="4" t="s">
        <v>307</v>
      </c>
      <c r="B271">
        <v>42.605437000000002</v>
      </c>
      <c r="C271">
        <v>-72.292074</v>
      </c>
    </row>
    <row r="272" spans="1:3" x14ac:dyDescent="0.25">
      <c r="A272" s="4" t="s">
        <v>308</v>
      </c>
      <c r="B272">
        <v>42.475620999999997</v>
      </c>
      <c r="C272">
        <v>-72.192468000000005</v>
      </c>
    </row>
    <row r="273" spans="1:3" x14ac:dyDescent="0.25">
      <c r="A273" s="4" t="s">
        <v>309</v>
      </c>
      <c r="B273">
        <v>42.695532</v>
      </c>
      <c r="C273">
        <v>-72.909148000000002</v>
      </c>
    </row>
    <row r="274" spans="1:3" x14ac:dyDescent="0.25">
      <c r="A274" s="4" t="s">
        <v>310</v>
      </c>
      <c r="B274">
        <v>42.679456000000002</v>
      </c>
      <c r="C274">
        <v>-72.176935</v>
      </c>
    </row>
    <row r="275" spans="1:3" x14ac:dyDescent="0.25">
      <c r="A275" s="4" t="s">
        <v>311</v>
      </c>
      <c r="B275">
        <v>42.593338000000003</v>
      </c>
      <c r="C275">
        <v>-72.726940999999997</v>
      </c>
    </row>
    <row r="276" spans="1:3" x14ac:dyDescent="0.25">
      <c r="A276" s="4" t="s">
        <v>312</v>
      </c>
      <c r="B276">
        <v>42.475481000000002</v>
      </c>
      <c r="C276">
        <v>-72.615403000000001</v>
      </c>
    </row>
    <row r="277" spans="1:3" x14ac:dyDescent="0.25">
      <c r="A277" s="4" t="s">
        <v>313</v>
      </c>
      <c r="B277">
        <v>42.466690999999997</v>
      </c>
      <c r="C277">
        <v>-72.546751</v>
      </c>
    </row>
    <row r="278" spans="1:3" x14ac:dyDescent="0.25">
      <c r="A278" s="4" t="s">
        <v>314</v>
      </c>
      <c r="B278">
        <v>42.595280000000002</v>
      </c>
      <c r="C278">
        <v>-72.555002000000002</v>
      </c>
    </row>
    <row r="279" spans="1:3" x14ac:dyDescent="0.25">
      <c r="A279" s="4" t="s">
        <v>315</v>
      </c>
      <c r="B279">
        <v>42.673532999999999</v>
      </c>
      <c r="C279">
        <v>-72.353212999999997</v>
      </c>
    </row>
    <row r="280" spans="1:3" x14ac:dyDescent="0.25">
      <c r="A280" s="4" t="s">
        <v>316</v>
      </c>
      <c r="B280">
        <v>42.556310000000003</v>
      </c>
      <c r="C280">
        <v>-72.407148000000007</v>
      </c>
    </row>
    <row r="281" spans="1:3" x14ac:dyDescent="0.25">
      <c r="A281" s="4" t="s">
        <v>317</v>
      </c>
      <c r="B281">
        <v>42.584924999999998</v>
      </c>
      <c r="C281">
        <v>-71.816862</v>
      </c>
    </row>
    <row r="282" spans="1:3" x14ac:dyDescent="0.25">
      <c r="A282" s="4" t="s">
        <v>318</v>
      </c>
      <c r="B282">
        <v>42.657004999999998</v>
      </c>
      <c r="C282">
        <v>-71.923441999999994</v>
      </c>
    </row>
    <row r="283" spans="1:3" x14ac:dyDescent="0.25">
      <c r="A283" s="4" t="s">
        <v>319</v>
      </c>
      <c r="B283">
        <v>42.676293000000001</v>
      </c>
      <c r="C283">
        <v>-71.832522999999995</v>
      </c>
    </row>
    <row r="284" spans="1:3" x14ac:dyDescent="0.25">
      <c r="A284" s="4" t="s">
        <v>320</v>
      </c>
      <c r="B284">
        <v>42.566572999999998</v>
      </c>
      <c r="C284">
        <v>-71.575135000000003</v>
      </c>
    </row>
    <row r="285" spans="1:3" x14ac:dyDescent="0.25">
      <c r="A285" s="4" t="s">
        <v>321</v>
      </c>
      <c r="B285">
        <v>42.538902999999998</v>
      </c>
      <c r="C285">
        <v>-71.612026999999998</v>
      </c>
    </row>
    <row r="286" spans="1:3" x14ac:dyDescent="0.25">
      <c r="A286" s="4" t="s">
        <v>322</v>
      </c>
      <c r="B286">
        <v>42.602058999999997</v>
      </c>
      <c r="C286">
        <v>-72.087014999999994</v>
      </c>
    </row>
    <row r="287" spans="1:3" x14ac:dyDescent="0.25">
      <c r="A287" s="4" t="s">
        <v>323</v>
      </c>
      <c r="B287">
        <v>42.562243000000002</v>
      </c>
      <c r="C287">
        <v>-72.031402</v>
      </c>
    </row>
    <row r="288" spans="1:3" x14ac:dyDescent="0.25">
      <c r="A288" s="4" t="s">
        <v>324</v>
      </c>
      <c r="B288">
        <v>42.584206000000002</v>
      </c>
      <c r="C288">
        <v>-71.988737</v>
      </c>
    </row>
    <row r="289" spans="1:3" x14ac:dyDescent="0.25">
      <c r="A289" s="4" t="s">
        <v>325</v>
      </c>
      <c r="B289">
        <v>42.611759999999997</v>
      </c>
      <c r="C289">
        <v>-71.565269000000001</v>
      </c>
    </row>
    <row r="290" spans="1:3" x14ac:dyDescent="0.25">
      <c r="A290" s="4" t="s">
        <v>326</v>
      </c>
      <c r="B290">
        <v>42.501908</v>
      </c>
      <c r="C290">
        <v>-71.568201000000002</v>
      </c>
    </row>
    <row r="291" spans="1:3" x14ac:dyDescent="0.25">
      <c r="A291" s="4" t="s">
        <v>327</v>
      </c>
      <c r="B291">
        <v>42.489598000000001</v>
      </c>
      <c r="C291">
        <v>-72.002877999999995</v>
      </c>
    </row>
    <row r="292" spans="1:3" x14ac:dyDescent="0.25">
      <c r="A292" s="4" t="s">
        <v>328</v>
      </c>
      <c r="B292">
        <v>42.519976999999997</v>
      </c>
      <c r="C292">
        <v>-71.763202000000007</v>
      </c>
    </row>
    <row r="293" spans="1:3" x14ac:dyDescent="0.25">
      <c r="A293" s="4" t="s">
        <v>329</v>
      </c>
      <c r="B293">
        <v>42.535930999999998</v>
      </c>
      <c r="C293">
        <v>-71.490568999999994</v>
      </c>
    </row>
    <row r="294" spans="1:3" x14ac:dyDescent="0.25">
      <c r="A294" s="4" t="s">
        <v>330</v>
      </c>
      <c r="B294">
        <v>42.582607000000003</v>
      </c>
      <c r="C294">
        <v>-71.720464000000007</v>
      </c>
    </row>
    <row r="295" spans="1:3" x14ac:dyDescent="0.25">
      <c r="A295" s="4" t="s">
        <v>331</v>
      </c>
      <c r="B295">
        <v>42.670642999999998</v>
      </c>
      <c r="C295">
        <v>-71.602857999999998</v>
      </c>
    </row>
    <row r="296" spans="1:3" x14ac:dyDescent="0.25">
      <c r="A296" s="4" t="s">
        <v>332</v>
      </c>
      <c r="B296">
        <v>42.573653999999998</v>
      </c>
      <c r="C296">
        <v>-71.640985999999998</v>
      </c>
    </row>
    <row r="297" spans="1:3" x14ac:dyDescent="0.25">
      <c r="A297" s="4" t="s">
        <v>333</v>
      </c>
      <c r="B297">
        <v>42.489646</v>
      </c>
      <c r="C297">
        <v>-71.609577000000002</v>
      </c>
    </row>
    <row r="298" spans="1:3" x14ac:dyDescent="0.25">
      <c r="A298" s="4" t="s">
        <v>334</v>
      </c>
      <c r="B298">
        <v>42.542766999999998</v>
      </c>
      <c r="C298">
        <v>-72.068344999999994</v>
      </c>
    </row>
    <row r="299" spans="1:3" x14ac:dyDescent="0.25">
      <c r="A299" s="4" t="s">
        <v>335</v>
      </c>
      <c r="B299">
        <v>42.664828</v>
      </c>
      <c r="C299">
        <v>-71.695087000000001</v>
      </c>
    </row>
    <row r="300" spans="1:3" x14ac:dyDescent="0.25">
      <c r="A300" s="4" t="s">
        <v>336</v>
      </c>
      <c r="B300">
        <v>42.554600000000001</v>
      </c>
      <c r="C300">
        <v>-71.905439999999999</v>
      </c>
    </row>
    <row r="301" spans="1:3" x14ac:dyDescent="0.25">
      <c r="A301" s="4" t="s">
        <v>337</v>
      </c>
      <c r="B301">
        <v>42.669685000000001</v>
      </c>
      <c r="C301">
        <v>-71.752751000000004</v>
      </c>
    </row>
    <row r="302" spans="1:3" x14ac:dyDescent="0.25">
      <c r="A302" s="4" t="s">
        <v>338</v>
      </c>
      <c r="B302">
        <v>42.66816</v>
      </c>
      <c r="C302">
        <v>-72.055644000000001</v>
      </c>
    </row>
    <row r="303" spans="1:3" x14ac:dyDescent="0.25">
      <c r="A303" s="4" t="s">
        <v>339</v>
      </c>
      <c r="B303">
        <v>42.198708000000003</v>
      </c>
      <c r="C303">
        <v>-71.846006000000003</v>
      </c>
    </row>
    <row r="304" spans="1:3" x14ac:dyDescent="0.25">
      <c r="A304" s="4" t="s">
        <v>340</v>
      </c>
      <c r="B304">
        <v>42.384929</v>
      </c>
      <c r="C304">
        <v>-71.633888999999996</v>
      </c>
    </row>
    <row r="305" spans="1:3" x14ac:dyDescent="0.25">
      <c r="A305" s="4" t="s">
        <v>341</v>
      </c>
      <c r="B305">
        <v>42.039991000000001</v>
      </c>
      <c r="C305">
        <v>-71.532405999999995</v>
      </c>
    </row>
    <row r="306" spans="1:3" x14ac:dyDescent="0.25">
      <c r="A306" s="4" t="s">
        <v>342</v>
      </c>
      <c r="B306">
        <v>42.355049000000001</v>
      </c>
      <c r="C306">
        <v>-71.716156999999995</v>
      </c>
    </row>
    <row r="307" spans="1:3" x14ac:dyDescent="0.25">
      <c r="A307" s="4" t="s">
        <v>343</v>
      </c>
      <c r="B307">
        <v>42.180788</v>
      </c>
      <c r="C307">
        <v>-72.107890999999995</v>
      </c>
    </row>
    <row r="308" spans="1:3" x14ac:dyDescent="0.25">
      <c r="A308" s="4" t="s">
        <v>344</v>
      </c>
      <c r="B308">
        <v>42.133935000000001</v>
      </c>
      <c r="C308">
        <v>-71.968024999999997</v>
      </c>
    </row>
    <row r="309" spans="1:3" x14ac:dyDescent="0.25">
      <c r="A309" s="4" t="s">
        <v>345</v>
      </c>
      <c r="B309">
        <v>42.411887</v>
      </c>
      <c r="C309">
        <v>-71.690004999999999</v>
      </c>
    </row>
    <row r="310" spans="1:3" x14ac:dyDescent="0.25">
      <c r="A310" s="4" t="s">
        <v>346</v>
      </c>
      <c r="B310">
        <v>42.209682000000001</v>
      </c>
      <c r="C310">
        <v>-72.040177999999997</v>
      </c>
    </row>
    <row r="311" spans="1:3" x14ac:dyDescent="0.25">
      <c r="A311" s="4" t="s">
        <v>347</v>
      </c>
      <c r="B311">
        <v>42.053072</v>
      </c>
      <c r="C311">
        <v>-71.752240999999998</v>
      </c>
    </row>
    <row r="312" spans="1:3" x14ac:dyDescent="0.25">
      <c r="A312" s="4" t="s">
        <v>348</v>
      </c>
      <c r="B312">
        <v>42.127476999999999</v>
      </c>
      <c r="C312">
        <v>-72.118818000000005</v>
      </c>
    </row>
    <row r="313" spans="1:3" x14ac:dyDescent="0.25">
      <c r="A313" s="4" t="s">
        <v>349</v>
      </c>
      <c r="B313">
        <v>42.203403999999999</v>
      </c>
      <c r="C313">
        <v>-71.679738999999998</v>
      </c>
    </row>
    <row r="314" spans="1:3" x14ac:dyDescent="0.25">
      <c r="A314" s="4" t="s">
        <v>350</v>
      </c>
      <c r="B314">
        <v>42.336371999999997</v>
      </c>
      <c r="C314">
        <v>-71.850626000000005</v>
      </c>
    </row>
    <row r="315" spans="1:3" x14ac:dyDescent="0.25">
      <c r="A315" s="4" t="s">
        <v>351</v>
      </c>
      <c r="B315">
        <v>42.046799</v>
      </c>
      <c r="C315">
        <v>-72.180143999999999</v>
      </c>
    </row>
    <row r="316" spans="1:3" x14ac:dyDescent="0.25">
      <c r="A316" s="4" t="s">
        <v>352</v>
      </c>
      <c r="B316">
        <v>42.375633999999998</v>
      </c>
      <c r="C316">
        <v>-71.867382000000006</v>
      </c>
    </row>
    <row r="317" spans="1:3" x14ac:dyDescent="0.25">
      <c r="A317" s="4" t="s">
        <v>353</v>
      </c>
      <c r="B317">
        <v>42.483569000000003</v>
      </c>
      <c r="C317">
        <v>-71.675584999999998</v>
      </c>
    </row>
    <row r="318" spans="1:3" x14ac:dyDescent="0.25">
      <c r="A318" s="4" t="s">
        <v>354</v>
      </c>
      <c r="B318">
        <v>42.249603</v>
      </c>
      <c r="C318">
        <v>-71.919217000000003</v>
      </c>
    </row>
    <row r="319" spans="1:3" x14ac:dyDescent="0.25">
      <c r="A319" s="4" t="s">
        <v>355</v>
      </c>
      <c r="B319">
        <v>42.106794000000001</v>
      </c>
      <c r="C319">
        <v>-71.630517999999995</v>
      </c>
    </row>
    <row r="320" spans="1:3" x14ac:dyDescent="0.25">
      <c r="A320" s="4" t="s">
        <v>356</v>
      </c>
      <c r="B320">
        <v>42.192245999999997</v>
      </c>
      <c r="C320">
        <v>-71.777648999999997</v>
      </c>
    </row>
    <row r="321" spans="1:3" x14ac:dyDescent="0.25">
      <c r="A321" s="4" t="s">
        <v>357</v>
      </c>
      <c r="B321">
        <v>42.036642000000001</v>
      </c>
      <c r="C321">
        <v>-71.578778999999997</v>
      </c>
    </row>
    <row r="322" spans="1:3" x14ac:dyDescent="0.25">
      <c r="A322" s="4" t="s">
        <v>358</v>
      </c>
      <c r="B322">
        <v>42.319125</v>
      </c>
      <c r="C322">
        <v>-72.130814000000001</v>
      </c>
    </row>
    <row r="323" spans="1:3" x14ac:dyDescent="0.25">
      <c r="A323" s="4" t="s">
        <v>359</v>
      </c>
      <c r="B323">
        <v>42.323341999999997</v>
      </c>
      <c r="C323">
        <v>-71.646236000000002</v>
      </c>
    </row>
    <row r="324" spans="1:3" x14ac:dyDescent="0.25">
      <c r="A324" s="4" t="s">
        <v>360</v>
      </c>
      <c r="B324">
        <v>42.142074000000001</v>
      </c>
      <c r="C324">
        <v>-71.643348000000003</v>
      </c>
    </row>
    <row r="325" spans="1:3" x14ac:dyDescent="0.25">
      <c r="A325" s="4" t="s">
        <v>361</v>
      </c>
      <c r="B325">
        <v>42.267564</v>
      </c>
      <c r="C325">
        <v>-72.066875999999993</v>
      </c>
    </row>
    <row r="326" spans="1:3" x14ac:dyDescent="0.25">
      <c r="A326" s="4" t="s">
        <v>362</v>
      </c>
      <c r="B326">
        <v>42.231309000000003</v>
      </c>
      <c r="C326">
        <v>-71.692642000000006</v>
      </c>
    </row>
    <row r="327" spans="1:3" x14ac:dyDescent="0.25">
      <c r="A327" s="4" t="s">
        <v>363</v>
      </c>
      <c r="B327">
        <v>42.158965999999999</v>
      </c>
      <c r="C327">
        <v>-71.897051000000005</v>
      </c>
    </row>
    <row r="328" spans="1:3" x14ac:dyDescent="0.25">
      <c r="A328" s="4" t="s">
        <v>364</v>
      </c>
      <c r="B328">
        <v>42.116262999999996</v>
      </c>
      <c r="C328">
        <v>-71.857465000000005</v>
      </c>
    </row>
    <row r="329" spans="1:3" x14ac:dyDescent="0.25">
      <c r="A329" s="4" t="s">
        <v>365</v>
      </c>
      <c r="B329">
        <v>42.454124999999998</v>
      </c>
      <c r="C329">
        <v>-71.877539999999996</v>
      </c>
    </row>
    <row r="330" spans="1:3" x14ac:dyDescent="0.25">
      <c r="A330" s="4" t="s">
        <v>366</v>
      </c>
      <c r="B330">
        <v>42.204250999999999</v>
      </c>
      <c r="C330">
        <v>-71.908906999999999</v>
      </c>
    </row>
    <row r="331" spans="1:3" x14ac:dyDescent="0.25">
      <c r="A331" s="4" t="s">
        <v>367</v>
      </c>
      <c r="B331">
        <v>42.388285000000003</v>
      </c>
      <c r="C331">
        <v>-71.969864999999999</v>
      </c>
    </row>
    <row r="332" spans="1:3" x14ac:dyDescent="0.25">
      <c r="A332" s="4" t="s">
        <v>368</v>
      </c>
      <c r="B332">
        <v>42.284767000000002</v>
      </c>
      <c r="C332">
        <v>-71.714228000000006</v>
      </c>
    </row>
    <row r="333" spans="1:3" x14ac:dyDescent="0.25">
      <c r="A333" s="4" t="s">
        <v>369</v>
      </c>
      <c r="B333">
        <v>42.059736999999998</v>
      </c>
      <c r="C333">
        <v>-72.033907999999997</v>
      </c>
    </row>
    <row r="334" spans="1:3" x14ac:dyDescent="0.25">
      <c r="A334" s="4" t="s">
        <v>370</v>
      </c>
      <c r="B334">
        <v>42.175395000000002</v>
      </c>
      <c r="C334">
        <v>-71.674222999999998</v>
      </c>
    </row>
    <row r="335" spans="1:3" x14ac:dyDescent="0.25">
      <c r="A335" s="4" t="s">
        <v>371</v>
      </c>
      <c r="B335">
        <v>42.44397</v>
      </c>
      <c r="C335">
        <v>-71.685582999999994</v>
      </c>
    </row>
    <row r="336" spans="1:3" x14ac:dyDescent="0.25">
      <c r="A336" s="4" t="s">
        <v>372</v>
      </c>
      <c r="B336">
        <v>42.247211</v>
      </c>
      <c r="C336">
        <v>-71.991866999999999</v>
      </c>
    </row>
    <row r="337" spans="1:3" x14ac:dyDescent="0.25">
      <c r="A337" s="4" t="s">
        <v>373</v>
      </c>
      <c r="B337">
        <v>42.447924</v>
      </c>
      <c r="C337">
        <v>-71.776044999999996</v>
      </c>
    </row>
    <row r="338" spans="1:3" x14ac:dyDescent="0.25">
      <c r="A338" s="4" t="s">
        <v>374</v>
      </c>
      <c r="B338">
        <v>42.103214000000001</v>
      </c>
      <c r="C338">
        <v>-72.079544999999996</v>
      </c>
    </row>
    <row r="339" spans="1:3" x14ac:dyDescent="0.25">
      <c r="A339" s="4" t="s">
        <v>375</v>
      </c>
      <c r="B339">
        <v>42.176526000000003</v>
      </c>
      <c r="C339">
        <v>-71.603588000000002</v>
      </c>
    </row>
    <row r="340" spans="1:3" x14ac:dyDescent="0.25">
      <c r="A340" s="4" t="s">
        <v>376</v>
      </c>
      <c r="B340">
        <v>42.055929999999996</v>
      </c>
      <c r="C340">
        <v>-71.631231999999997</v>
      </c>
    </row>
    <row r="341" spans="1:3" x14ac:dyDescent="0.25">
      <c r="A341" s="4" t="s">
        <v>377</v>
      </c>
      <c r="B341">
        <v>42.047531999999997</v>
      </c>
      <c r="C341">
        <v>-71.846952000000002</v>
      </c>
    </row>
    <row r="342" spans="1:3" x14ac:dyDescent="0.25">
      <c r="A342" s="4" t="s">
        <v>378</v>
      </c>
      <c r="B342">
        <v>42.053778000000001</v>
      </c>
      <c r="C342">
        <v>-71.935074999999998</v>
      </c>
    </row>
    <row r="343" spans="1:3" x14ac:dyDescent="0.25">
      <c r="A343" s="4" t="s">
        <v>379</v>
      </c>
      <c r="B343">
        <v>42.268425999999998</v>
      </c>
      <c r="C343">
        <v>-71.613309000000001</v>
      </c>
    </row>
    <row r="344" spans="1:3" x14ac:dyDescent="0.25">
      <c r="A344" s="4" t="s">
        <v>380</v>
      </c>
      <c r="B344">
        <v>42.369416999999999</v>
      </c>
      <c r="C344">
        <v>-71.785036000000005</v>
      </c>
    </row>
    <row r="345" spans="1:3" x14ac:dyDescent="0.25">
      <c r="A345" s="4" t="s">
        <v>381</v>
      </c>
      <c r="B345">
        <v>42.240796000000003</v>
      </c>
      <c r="C345">
        <v>-72.162644999999998</v>
      </c>
    </row>
    <row r="346" spans="1:3" x14ac:dyDescent="0.25">
      <c r="A346" s="4" t="s">
        <v>382</v>
      </c>
      <c r="B346">
        <v>42.118794000000001</v>
      </c>
      <c r="C346">
        <v>-71.672494</v>
      </c>
    </row>
    <row r="347" spans="1:3" x14ac:dyDescent="0.25">
      <c r="A347" s="4" t="s">
        <v>383</v>
      </c>
      <c r="B347">
        <v>42.132050999999997</v>
      </c>
      <c r="C347">
        <v>-71.750317999999993</v>
      </c>
    </row>
    <row r="348" spans="1:3" x14ac:dyDescent="0.25">
      <c r="A348" s="4" t="s">
        <v>384</v>
      </c>
      <c r="B348">
        <v>42.269188999999997</v>
      </c>
      <c r="C348">
        <v>-71.850728000000004</v>
      </c>
    </row>
    <row r="349" spans="1:3" x14ac:dyDescent="0.25">
      <c r="A349" s="4" t="s">
        <v>385</v>
      </c>
      <c r="B349">
        <v>42.243825999999999</v>
      </c>
      <c r="C349">
        <v>-71.843569000000002</v>
      </c>
    </row>
    <row r="350" spans="1:3" x14ac:dyDescent="0.25">
      <c r="A350" s="4" t="s">
        <v>386</v>
      </c>
      <c r="B350">
        <v>42.253253999999998</v>
      </c>
      <c r="C350">
        <v>-71.767956999999996</v>
      </c>
    </row>
    <row r="351" spans="1:3" x14ac:dyDescent="0.25">
      <c r="A351" s="4" t="s">
        <v>387</v>
      </c>
      <c r="B351">
        <v>42.289682999999997</v>
      </c>
      <c r="C351">
        <v>-71.787792999999994</v>
      </c>
    </row>
    <row r="352" spans="1:3" x14ac:dyDescent="0.25">
      <c r="A352" s="4" t="s">
        <v>388</v>
      </c>
      <c r="B352">
        <v>42.315249000000001</v>
      </c>
      <c r="C352">
        <v>-71.795741000000007</v>
      </c>
    </row>
    <row r="353" spans="1:3" x14ac:dyDescent="0.25">
      <c r="A353" s="4" t="s">
        <v>389</v>
      </c>
      <c r="B353">
        <v>42.225974000000001</v>
      </c>
      <c r="C353">
        <v>-71.788893999999999</v>
      </c>
    </row>
    <row r="354" spans="1:3" x14ac:dyDescent="0.25">
      <c r="A354" s="4" t="s">
        <v>390</v>
      </c>
      <c r="B354">
        <v>42.261980000000001</v>
      </c>
      <c r="C354">
        <v>-71.801462000000001</v>
      </c>
    </row>
    <row r="355" spans="1:3" x14ac:dyDescent="0.25">
      <c r="A355" s="4" t="s">
        <v>391</v>
      </c>
      <c r="B355">
        <v>42.285114</v>
      </c>
      <c r="C355">
        <v>-71.829987000000003</v>
      </c>
    </row>
    <row r="356" spans="1:3" x14ac:dyDescent="0.25">
      <c r="A356" s="4" t="s">
        <v>392</v>
      </c>
      <c r="B356">
        <v>42.247048999999997</v>
      </c>
      <c r="C356">
        <v>-71.808366000000007</v>
      </c>
    </row>
    <row r="357" spans="1:3" x14ac:dyDescent="0.25">
      <c r="A357" s="4" t="s">
        <v>393</v>
      </c>
      <c r="B357">
        <v>42.237603999999997</v>
      </c>
      <c r="C357">
        <v>-71.875838000000002</v>
      </c>
    </row>
    <row r="358" spans="1:3" x14ac:dyDescent="0.25">
      <c r="A358" s="4" t="s">
        <v>394</v>
      </c>
      <c r="B358">
        <v>42.296798000000003</v>
      </c>
      <c r="C358">
        <v>-71.928990999999996</v>
      </c>
    </row>
    <row r="359" spans="1:3" x14ac:dyDescent="0.25">
      <c r="A359" s="4" t="s">
        <v>395</v>
      </c>
      <c r="B359">
        <v>42.319586999999999</v>
      </c>
      <c r="C359">
        <v>-71.442800000000005</v>
      </c>
    </row>
    <row r="360" spans="1:3" x14ac:dyDescent="0.25">
      <c r="A360" s="4" t="s">
        <v>396</v>
      </c>
      <c r="B360">
        <v>42.282378999999999</v>
      </c>
      <c r="C360">
        <v>-71.436621000000002</v>
      </c>
    </row>
    <row r="361" spans="1:3" x14ac:dyDescent="0.25">
      <c r="A361" s="4" t="s">
        <v>397</v>
      </c>
      <c r="B361">
        <v>42.519815999999999</v>
      </c>
      <c r="C361">
        <v>-71.429282999999998</v>
      </c>
    </row>
    <row r="362" spans="1:3" x14ac:dyDescent="0.25">
      <c r="A362" s="4" t="s">
        <v>398</v>
      </c>
      <c r="B362">
        <v>42.485984999999999</v>
      </c>
      <c r="C362">
        <v>-71.520984999999996</v>
      </c>
    </row>
    <row r="363" spans="1:3" x14ac:dyDescent="0.25">
      <c r="A363" s="4" t="s">
        <v>399</v>
      </c>
      <c r="B363">
        <v>42.483953</v>
      </c>
      <c r="C363">
        <v>-71.438495000000003</v>
      </c>
    </row>
    <row r="364" spans="1:3" x14ac:dyDescent="0.25">
      <c r="A364" s="4" t="s">
        <v>400</v>
      </c>
      <c r="B364">
        <v>42.257755000000003</v>
      </c>
      <c r="C364">
        <v>-71.473526000000007</v>
      </c>
    </row>
    <row r="365" spans="1:3" x14ac:dyDescent="0.25">
      <c r="A365" s="4" t="s">
        <v>401</v>
      </c>
      <c r="B365">
        <v>42.499294999999996</v>
      </c>
      <c r="C365">
        <v>-71.281889000000007</v>
      </c>
    </row>
    <row r="366" spans="1:3" x14ac:dyDescent="0.25">
      <c r="A366" s="4" t="s">
        <v>402</v>
      </c>
      <c r="B366">
        <v>42.456747999999997</v>
      </c>
      <c r="C366">
        <v>-71.279483999999997</v>
      </c>
    </row>
    <row r="367" spans="1:3" x14ac:dyDescent="0.25">
      <c r="A367" s="4" t="s">
        <v>403</v>
      </c>
      <c r="B367">
        <v>42.439940999999997</v>
      </c>
      <c r="C367">
        <v>-71.601878999999997</v>
      </c>
    </row>
    <row r="368" spans="1:3" x14ac:dyDescent="0.25">
      <c r="A368" s="4" t="s">
        <v>404</v>
      </c>
      <c r="B368">
        <v>42.536619999999999</v>
      </c>
      <c r="C368">
        <v>-71.361832000000007</v>
      </c>
    </row>
    <row r="369" spans="1:3" x14ac:dyDescent="0.25">
      <c r="A369" s="4" t="s">
        <v>405</v>
      </c>
      <c r="B369">
        <v>42.462910999999998</v>
      </c>
      <c r="C369">
        <v>-71.364496000000003</v>
      </c>
    </row>
    <row r="370" spans="1:3" x14ac:dyDescent="0.25">
      <c r="A370" s="4" t="s">
        <v>406</v>
      </c>
      <c r="B370">
        <v>42.292113999999998</v>
      </c>
      <c r="C370">
        <v>-71.499196999999995</v>
      </c>
    </row>
    <row r="371" spans="1:3" x14ac:dyDescent="0.25">
      <c r="A371" s="4" t="s">
        <v>407</v>
      </c>
      <c r="B371">
        <v>42.195951000000001</v>
      </c>
      <c r="C371">
        <v>-71.453429999999997</v>
      </c>
    </row>
    <row r="372" spans="1:3" x14ac:dyDescent="0.25">
      <c r="A372" s="4" t="s">
        <v>408</v>
      </c>
      <c r="B372">
        <v>42.123007000000001</v>
      </c>
      <c r="C372">
        <v>-71.531403999999995</v>
      </c>
    </row>
    <row r="373" spans="1:3" x14ac:dyDescent="0.25">
      <c r="A373" s="4" t="s">
        <v>409</v>
      </c>
      <c r="B373">
        <v>42.224096000000003</v>
      </c>
      <c r="C373">
        <v>-71.540488999999994</v>
      </c>
    </row>
    <row r="374" spans="1:3" x14ac:dyDescent="0.25">
      <c r="A374" s="4" t="s">
        <v>410</v>
      </c>
      <c r="B374">
        <v>42.389071000000001</v>
      </c>
      <c r="C374">
        <v>-71.545863999999995</v>
      </c>
    </row>
    <row r="375" spans="1:3" x14ac:dyDescent="0.25">
      <c r="A375" s="4" t="s">
        <v>411</v>
      </c>
      <c r="B375">
        <v>42.349617000000002</v>
      </c>
      <c r="C375">
        <v>-71.547213999999997</v>
      </c>
    </row>
    <row r="376" spans="1:3" x14ac:dyDescent="0.25">
      <c r="A376" s="4" t="s">
        <v>412</v>
      </c>
      <c r="B376">
        <v>42.425955000000002</v>
      </c>
      <c r="C376">
        <v>-71.456255999999996</v>
      </c>
    </row>
    <row r="377" spans="1:3" x14ac:dyDescent="0.25">
      <c r="A377" s="4" t="s">
        <v>413</v>
      </c>
      <c r="B377">
        <v>42.093870000000003</v>
      </c>
      <c r="C377">
        <v>-71.544518999999994</v>
      </c>
    </row>
    <row r="378" spans="1:3" x14ac:dyDescent="0.25">
      <c r="A378" s="4" t="s">
        <v>414</v>
      </c>
      <c r="B378">
        <v>42.158692000000002</v>
      </c>
      <c r="C378">
        <v>-71.521418999999995</v>
      </c>
    </row>
    <row r="379" spans="1:3" x14ac:dyDescent="0.25">
      <c r="A379" s="4" t="s">
        <v>415</v>
      </c>
      <c r="B379">
        <v>42.284821999999998</v>
      </c>
      <c r="C379">
        <v>-71.348810999999998</v>
      </c>
    </row>
    <row r="380" spans="1:3" x14ac:dyDescent="0.25">
      <c r="A380" s="4" t="s">
        <v>416</v>
      </c>
      <c r="B380">
        <v>42.231946999999998</v>
      </c>
      <c r="C380">
        <v>-71.372962999999999</v>
      </c>
    </row>
    <row r="381" spans="1:3" x14ac:dyDescent="0.25">
      <c r="A381" s="4" t="s">
        <v>417</v>
      </c>
      <c r="B381">
        <v>42.302877000000002</v>
      </c>
      <c r="C381">
        <v>-71.530828</v>
      </c>
    </row>
    <row r="382" spans="1:3" x14ac:dyDescent="0.25">
      <c r="A382" s="4" t="s">
        <v>418</v>
      </c>
      <c r="B382">
        <v>42.425505999999999</v>
      </c>
      <c r="C382">
        <v>-71.310811999999999</v>
      </c>
    </row>
    <row r="383" spans="1:3" x14ac:dyDescent="0.25">
      <c r="A383" s="4" t="s">
        <v>419</v>
      </c>
      <c r="B383">
        <v>42.429687999999999</v>
      </c>
      <c r="C383">
        <v>-71.512513999999996</v>
      </c>
    </row>
    <row r="384" spans="1:3" x14ac:dyDescent="0.25">
      <c r="A384" s="4" t="s">
        <v>420</v>
      </c>
      <c r="B384">
        <v>42.383367</v>
      </c>
      <c r="C384">
        <v>-71.42107</v>
      </c>
    </row>
    <row r="385" spans="1:3" x14ac:dyDescent="0.25">
      <c r="A385" s="4" t="s">
        <v>421</v>
      </c>
      <c r="B385">
        <v>42.343687000000003</v>
      </c>
      <c r="C385">
        <v>-71.381186</v>
      </c>
    </row>
    <row r="386" spans="1:3" x14ac:dyDescent="0.25">
      <c r="A386" s="4" t="s">
        <v>422</v>
      </c>
      <c r="B386">
        <v>42.488768999999998</v>
      </c>
      <c r="C386">
        <v>-71.154437999999999</v>
      </c>
    </row>
    <row r="387" spans="1:3" x14ac:dyDescent="0.25">
      <c r="A387" s="4" t="s">
        <v>423</v>
      </c>
      <c r="B387">
        <v>42.503227000000003</v>
      </c>
      <c r="C387">
        <v>-71.201712999999998</v>
      </c>
    </row>
    <row r="388" spans="1:3" x14ac:dyDescent="0.25">
      <c r="A388" s="4" t="s">
        <v>424</v>
      </c>
      <c r="B388">
        <v>42.648043999999999</v>
      </c>
      <c r="C388">
        <v>-71.161750999999995</v>
      </c>
    </row>
    <row r="389" spans="1:3" x14ac:dyDescent="0.25">
      <c r="A389" s="4" t="s">
        <v>425</v>
      </c>
      <c r="B389">
        <v>42.549329999999998</v>
      </c>
      <c r="C389">
        <v>-71.251724999999993</v>
      </c>
    </row>
    <row r="390" spans="1:3" x14ac:dyDescent="0.25">
      <c r="A390" s="4" t="s">
        <v>426</v>
      </c>
      <c r="B390">
        <v>42.590789999999998</v>
      </c>
      <c r="C390">
        <v>-71.355181999999999</v>
      </c>
    </row>
    <row r="391" spans="1:3" x14ac:dyDescent="0.25">
      <c r="A391" s="4" t="s">
        <v>427</v>
      </c>
      <c r="B391">
        <v>42.679723000000003</v>
      </c>
      <c r="C391">
        <v>-71.30068</v>
      </c>
    </row>
    <row r="392" spans="1:3" x14ac:dyDescent="0.25">
      <c r="A392" s="4" t="s">
        <v>428</v>
      </c>
      <c r="B392">
        <v>42.676149000000002</v>
      </c>
      <c r="C392">
        <v>-71.499771999999993</v>
      </c>
    </row>
    <row r="393" spans="1:3" x14ac:dyDescent="0.25">
      <c r="A393" s="4" t="s">
        <v>429</v>
      </c>
      <c r="B393">
        <v>42.796312999999998</v>
      </c>
      <c r="C393">
        <v>-71.053436000000005</v>
      </c>
    </row>
    <row r="394" spans="1:3" x14ac:dyDescent="0.25">
      <c r="A394" s="4" t="s">
        <v>430</v>
      </c>
      <c r="B394">
        <v>42.791114</v>
      </c>
      <c r="C394">
        <v>-71.132858999999996</v>
      </c>
    </row>
    <row r="395" spans="1:3" x14ac:dyDescent="0.25">
      <c r="A395" s="4" t="s">
        <v>431</v>
      </c>
      <c r="B395">
        <v>42.727879000000001</v>
      </c>
      <c r="C395">
        <v>-70.982035999999994</v>
      </c>
    </row>
    <row r="396" spans="1:3" x14ac:dyDescent="0.25">
      <c r="A396" s="4" t="s">
        <v>432</v>
      </c>
      <c r="B396">
        <v>42.753900000000002</v>
      </c>
      <c r="C396">
        <v>-71.015934999999999</v>
      </c>
    </row>
    <row r="397" spans="1:3" x14ac:dyDescent="0.25">
      <c r="A397" s="4" t="s">
        <v>433</v>
      </c>
      <c r="B397">
        <v>42.751232999999999</v>
      </c>
      <c r="C397">
        <v>-71.094300000000004</v>
      </c>
    </row>
    <row r="398" spans="1:3" x14ac:dyDescent="0.25">
      <c r="A398" s="4" t="s">
        <v>434</v>
      </c>
      <c r="B398">
        <v>42.706763000000002</v>
      </c>
      <c r="C398">
        <v>-71.160403000000002</v>
      </c>
    </row>
    <row r="399" spans="1:3" x14ac:dyDescent="0.25">
      <c r="A399" s="4" t="s">
        <v>435</v>
      </c>
      <c r="B399">
        <v>42.712015000000001</v>
      </c>
      <c r="C399">
        <v>-71.164873</v>
      </c>
    </row>
    <row r="400" spans="1:3" x14ac:dyDescent="0.25">
      <c r="A400" s="4" t="s">
        <v>436</v>
      </c>
      <c r="B400">
        <v>42.689973999999999</v>
      </c>
      <c r="C400">
        <v>-71.160382999999996</v>
      </c>
    </row>
    <row r="401" spans="1:3" x14ac:dyDescent="0.25">
      <c r="A401" s="4" t="s">
        <v>437</v>
      </c>
      <c r="B401">
        <v>42.742468000000002</v>
      </c>
      <c r="C401">
        <v>-71.179218000000006</v>
      </c>
    </row>
    <row r="402" spans="1:3" x14ac:dyDescent="0.25">
      <c r="A402" s="4" t="s">
        <v>438</v>
      </c>
      <c r="B402">
        <v>42.673909000000002</v>
      </c>
      <c r="C402">
        <v>-71.091334000000003</v>
      </c>
    </row>
    <row r="403" spans="1:3" x14ac:dyDescent="0.25">
      <c r="A403" s="4" t="s">
        <v>439</v>
      </c>
      <c r="B403">
        <v>42.656044999999999</v>
      </c>
      <c r="C403">
        <v>-71.303308999999999</v>
      </c>
    </row>
    <row r="404" spans="1:3" x14ac:dyDescent="0.25">
      <c r="A404" s="4" t="s">
        <v>440</v>
      </c>
      <c r="B404">
        <v>42.627811999999999</v>
      </c>
      <c r="C404">
        <v>-71.335329999999999</v>
      </c>
    </row>
    <row r="405" spans="1:3" x14ac:dyDescent="0.25">
      <c r="A405" s="4" t="s">
        <v>441</v>
      </c>
      <c r="B405">
        <v>42.631912</v>
      </c>
      <c r="C405">
        <v>-71.296025</v>
      </c>
    </row>
    <row r="406" spans="1:3" x14ac:dyDescent="0.25">
      <c r="A406" s="4" t="s">
        <v>442</v>
      </c>
      <c r="B406">
        <v>42.649481000000002</v>
      </c>
      <c r="C406">
        <v>-71.348229000000003</v>
      </c>
    </row>
    <row r="407" spans="1:3" x14ac:dyDescent="0.25">
      <c r="A407" s="4" t="s">
        <v>443</v>
      </c>
      <c r="B407">
        <v>42.838602999999999</v>
      </c>
      <c r="C407">
        <v>-71.011996999999994</v>
      </c>
    </row>
    <row r="408" spans="1:3" x14ac:dyDescent="0.25">
      <c r="A408" s="4" t="s">
        <v>444</v>
      </c>
      <c r="B408">
        <v>42.578543000000003</v>
      </c>
      <c r="C408">
        <v>-71.295591999999999</v>
      </c>
    </row>
    <row r="409" spans="1:3" x14ac:dyDescent="0.25">
      <c r="A409" s="4" t="s">
        <v>445</v>
      </c>
      <c r="B409">
        <v>42.633780000000002</v>
      </c>
      <c r="C409">
        <v>-71.389470000000003</v>
      </c>
    </row>
    <row r="410" spans="1:3" x14ac:dyDescent="0.25">
      <c r="A410" s="4" t="s">
        <v>446</v>
      </c>
      <c r="B410">
        <v>42.578221999999997</v>
      </c>
      <c r="C410">
        <v>-71.084397999999993</v>
      </c>
    </row>
    <row r="411" spans="1:3" x14ac:dyDescent="0.25">
      <c r="A411" s="4" t="s">
        <v>447</v>
      </c>
      <c r="B411">
        <v>42.535183000000004</v>
      </c>
      <c r="C411">
        <v>-71.105423000000002</v>
      </c>
    </row>
    <row r="412" spans="1:3" x14ac:dyDescent="0.25">
      <c r="A412" s="4" t="s">
        <v>448</v>
      </c>
      <c r="B412">
        <v>42.611801</v>
      </c>
      <c r="C412">
        <v>-71.227570999999998</v>
      </c>
    </row>
    <row r="413" spans="1:3" x14ac:dyDescent="0.25">
      <c r="A413" s="4" t="s">
        <v>449</v>
      </c>
      <c r="B413">
        <v>42.667762000000003</v>
      </c>
      <c r="C413">
        <v>-71.428820000000002</v>
      </c>
    </row>
    <row r="414" spans="1:3" x14ac:dyDescent="0.25">
      <c r="A414" s="4" t="s">
        <v>450</v>
      </c>
      <c r="B414">
        <v>42.501524000000003</v>
      </c>
      <c r="C414">
        <v>-71.067488999999995</v>
      </c>
    </row>
    <row r="415" spans="1:3" x14ac:dyDescent="0.25">
      <c r="A415" s="4" t="s">
        <v>451</v>
      </c>
      <c r="B415">
        <v>42.585540999999999</v>
      </c>
      <c r="C415">
        <v>-71.440250000000006</v>
      </c>
    </row>
    <row r="416" spans="1:3" x14ac:dyDescent="0.25">
      <c r="A416" s="4" t="s">
        <v>452</v>
      </c>
      <c r="B416">
        <v>42.564647000000001</v>
      </c>
      <c r="C416">
        <v>-71.164516000000006</v>
      </c>
    </row>
    <row r="417" spans="1:3" x14ac:dyDescent="0.25">
      <c r="A417" s="4" t="s">
        <v>453</v>
      </c>
      <c r="B417">
        <v>42.452751999999997</v>
      </c>
      <c r="C417">
        <v>-71.144318999999996</v>
      </c>
    </row>
    <row r="418" spans="1:3" x14ac:dyDescent="0.25">
      <c r="A418" s="4" t="s">
        <v>454</v>
      </c>
      <c r="B418">
        <v>42.460419000000002</v>
      </c>
      <c r="C418">
        <v>-70.946378999999993</v>
      </c>
    </row>
    <row r="419" spans="1:3" x14ac:dyDescent="0.25">
      <c r="A419" s="4" t="s">
        <v>455</v>
      </c>
      <c r="B419">
        <v>42.471038999999998</v>
      </c>
      <c r="C419">
        <v>-70.941535000000002</v>
      </c>
    </row>
    <row r="420" spans="1:3" x14ac:dyDescent="0.25">
      <c r="A420" s="4" t="s">
        <v>456</v>
      </c>
      <c r="B420">
        <v>42.492455999999997</v>
      </c>
      <c r="C420">
        <v>-70.973929999999996</v>
      </c>
    </row>
    <row r="421" spans="1:3" x14ac:dyDescent="0.25">
      <c r="A421" s="4" t="s">
        <v>457</v>
      </c>
      <c r="B421">
        <v>42.465997999999999</v>
      </c>
      <c r="C421">
        <v>-70.975791999999998</v>
      </c>
    </row>
    <row r="422" spans="1:3" x14ac:dyDescent="0.25">
      <c r="A422" s="4" t="s">
        <v>458</v>
      </c>
      <c r="B422">
        <v>42.468432</v>
      </c>
      <c r="C422">
        <v>-71.013946000000004</v>
      </c>
    </row>
    <row r="423" spans="1:3" x14ac:dyDescent="0.25">
      <c r="A423" s="4" t="s">
        <v>459</v>
      </c>
      <c r="B423">
        <v>42.474145</v>
      </c>
      <c r="C423">
        <v>-70.906597000000005</v>
      </c>
    </row>
    <row r="424" spans="1:3" x14ac:dyDescent="0.25">
      <c r="A424" s="4" t="s">
        <v>460</v>
      </c>
      <c r="B424">
        <v>42.428255999999998</v>
      </c>
      <c r="C424">
        <v>-70.926040999999998</v>
      </c>
    </row>
    <row r="425" spans="1:3" x14ac:dyDescent="0.25">
      <c r="A425" s="4" t="s">
        <v>461</v>
      </c>
      <c r="B425">
        <v>42.851292999999998</v>
      </c>
      <c r="C425">
        <v>-70.95581</v>
      </c>
    </row>
    <row r="426" spans="1:3" x14ac:dyDescent="0.25">
      <c r="A426" s="4" t="s">
        <v>462</v>
      </c>
      <c r="B426">
        <v>42.570664999999998</v>
      </c>
      <c r="C426">
        <v>-70.867582999999996</v>
      </c>
    </row>
    <row r="427" spans="1:3" x14ac:dyDescent="0.25">
      <c r="A427" s="4" t="s">
        <v>463</v>
      </c>
      <c r="B427">
        <v>42.683107999999997</v>
      </c>
      <c r="C427">
        <v>-71.018330000000006</v>
      </c>
    </row>
    <row r="428" spans="1:3" x14ac:dyDescent="0.25">
      <c r="A428" s="4" t="s">
        <v>464</v>
      </c>
      <c r="B428">
        <v>42.757313000000003</v>
      </c>
      <c r="C428">
        <v>-70.914241000000004</v>
      </c>
    </row>
    <row r="429" spans="1:3" x14ac:dyDescent="0.25">
      <c r="A429" s="4" t="s">
        <v>465</v>
      </c>
      <c r="B429">
        <v>42.574173999999999</v>
      </c>
      <c r="C429">
        <v>-70.950515999999993</v>
      </c>
    </row>
    <row r="430" spans="1:3" x14ac:dyDescent="0.25">
      <c r="A430" s="4" t="s">
        <v>466</v>
      </c>
      <c r="B430">
        <v>42.640419999999999</v>
      </c>
      <c r="C430">
        <v>-70.771172000000007</v>
      </c>
    </row>
    <row r="431" spans="1:3" x14ac:dyDescent="0.25">
      <c r="A431" s="4" t="s">
        <v>467</v>
      </c>
      <c r="B431">
        <v>42.619909999999997</v>
      </c>
      <c r="C431">
        <v>-70.681824000000006</v>
      </c>
    </row>
    <row r="432" spans="1:3" x14ac:dyDescent="0.25">
      <c r="A432" s="4" t="s">
        <v>468</v>
      </c>
      <c r="B432">
        <v>42.585723000000002</v>
      </c>
      <c r="C432">
        <v>-70.984050999999994</v>
      </c>
    </row>
    <row r="433" spans="1:3" x14ac:dyDescent="0.25">
      <c r="A433" s="4" t="s">
        <v>469</v>
      </c>
      <c r="B433">
        <v>42.683860000000003</v>
      </c>
      <c r="C433">
        <v>-70.842665999999994</v>
      </c>
    </row>
    <row r="434" spans="1:3" x14ac:dyDescent="0.25">
      <c r="A434" s="4" t="s">
        <v>470</v>
      </c>
      <c r="B434">
        <v>42.534146</v>
      </c>
      <c r="C434">
        <v>-71.038332999999994</v>
      </c>
    </row>
    <row r="435" spans="1:3" x14ac:dyDescent="0.25">
      <c r="A435" s="4" t="s">
        <v>471</v>
      </c>
      <c r="B435">
        <v>42.576636000000001</v>
      </c>
      <c r="C435">
        <v>-70.767154000000005</v>
      </c>
    </row>
    <row r="436" spans="1:3" x14ac:dyDescent="0.25">
      <c r="A436" s="4" t="s">
        <v>472</v>
      </c>
      <c r="B436">
        <v>42.501835</v>
      </c>
      <c r="C436">
        <v>-70.859126000000003</v>
      </c>
    </row>
    <row r="437" spans="1:3" x14ac:dyDescent="0.25">
      <c r="A437" s="4" t="s">
        <v>473</v>
      </c>
      <c r="B437">
        <v>42.606665999999997</v>
      </c>
      <c r="C437">
        <v>-71.010316000000003</v>
      </c>
    </row>
    <row r="438" spans="1:3" x14ac:dyDescent="0.25">
      <c r="A438" s="4" t="s">
        <v>474</v>
      </c>
      <c r="B438">
        <v>42.812358000000003</v>
      </c>
      <c r="C438">
        <v>-70.891095000000007</v>
      </c>
    </row>
    <row r="439" spans="1:3" x14ac:dyDescent="0.25">
      <c r="A439" s="4" t="s">
        <v>475</v>
      </c>
      <c r="B439">
        <v>42.773350999999998</v>
      </c>
      <c r="C439">
        <v>-70.850211000000002</v>
      </c>
    </row>
    <row r="440" spans="1:3" x14ac:dyDescent="0.25">
      <c r="A440" s="4" t="s">
        <v>476</v>
      </c>
      <c r="B440">
        <v>42.844793000000003</v>
      </c>
      <c r="C440">
        <v>-70.841476</v>
      </c>
    </row>
    <row r="441" spans="1:3" x14ac:dyDescent="0.25">
      <c r="A441" s="4" t="s">
        <v>477</v>
      </c>
      <c r="B441">
        <v>42.534278999999998</v>
      </c>
      <c r="C441">
        <v>-70.969781999999995</v>
      </c>
    </row>
    <row r="442" spans="1:3" x14ac:dyDescent="0.25">
      <c r="A442" s="4" t="s">
        <v>478</v>
      </c>
      <c r="B442">
        <v>42.640715</v>
      </c>
      <c r="C442">
        <v>-70.620248000000004</v>
      </c>
    </row>
    <row r="443" spans="1:3" x14ac:dyDescent="0.25">
      <c r="A443" s="4" t="s">
        <v>479</v>
      </c>
      <c r="B443">
        <v>42.720872999999997</v>
      </c>
      <c r="C443">
        <v>-70.891220000000004</v>
      </c>
    </row>
    <row r="444" spans="1:3" x14ac:dyDescent="0.25">
      <c r="A444" s="4" t="s">
        <v>480</v>
      </c>
      <c r="B444">
        <v>42.524434999999997</v>
      </c>
      <c r="C444">
        <v>-70.870858999999996</v>
      </c>
    </row>
    <row r="445" spans="1:3" x14ac:dyDescent="0.25">
      <c r="A445" s="4" t="s">
        <v>481</v>
      </c>
      <c r="B445">
        <v>42.626223000000003</v>
      </c>
      <c r="C445">
        <v>-70.857230000000001</v>
      </c>
    </row>
    <row r="446" spans="1:3" x14ac:dyDescent="0.25">
      <c r="A446" s="4" t="s">
        <v>482</v>
      </c>
      <c r="B446">
        <v>42.641379000000001</v>
      </c>
      <c r="C446">
        <v>-70.943439999999995</v>
      </c>
    </row>
    <row r="447" spans="1:3" x14ac:dyDescent="0.25">
      <c r="A447" s="4" t="s">
        <v>483</v>
      </c>
      <c r="B447">
        <v>42.600633000000002</v>
      </c>
      <c r="C447">
        <v>-70.883302999999998</v>
      </c>
    </row>
    <row r="448" spans="1:3" x14ac:dyDescent="0.25">
      <c r="A448" s="4" t="s">
        <v>484</v>
      </c>
      <c r="B448">
        <v>42.799565000000001</v>
      </c>
      <c r="C448">
        <v>-70.964427999999998</v>
      </c>
    </row>
    <row r="449" spans="1:3" x14ac:dyDescent="0.25">
      <c r="A449" s="4" t="s">
        <v>485</v>
      </c>
      <c r="B449">
        <v>42.076681999999998</v>
      </c>
      <c r="C449">
        <v>-71.474490000000003</v>
      </c>
    </row>
    <row r="450" spans="1:3" x14ac:dyDescent="0.25">
      <c r="A450" s="4" t="s">
        <v>486</v>
      </c>
      <c r="B450">
        <v>42.175736999999998</v>
      </c>
      <c r="C450">
        <v>-71.125384999999994</v>
      </c>
    </row>
    <row r="451" spans="1:3" x14ac:dyDescent="0.25">
      <c r="A451" s="4" t="s">
        <v>487</v>
      </c>
      <c r="B451">
        <v>42.236423000000002</v>
      </c>
      <c r="C451">
        <v>-70.814436000000001</v>
      </c>
    </row>
    <row r="452" spans="1:3" x14ac:dyDescent="0.25">
      <c r="A452" s="4" t="s">
        <v>488</v>
      </c>
      <c r="B452">
        <v>42.246872000000003</v>
      </c>
      <c r="C452">
        <v>-71.179462000000001</v>
      </c>
    </row>
    <row r="453" spans="1:3" x14ac:dyDescent="0.25">
      <c r="A453" s="4" t="s">
        <v>489</v>
      </c>
      <c r="B453">
        <v>42.234160000000003</v>
      </c>
      <c r="C453">
        <v>-71.291167000000002</v>
      </c>
    </row>
    <row r="454" spans="1:3" x14ac:dyDescent="0.25">
      <c r="A454" s="4" t="s">
        <v>490</v>
      </c>
      <c r="B454">
        <v>42.156882000000003</v>
      </c>
      <c r="C454">
        <v>-71.216187000000005</v>
      </c>
    </row>
    <row r="455" spans="1:3" x14ac:dyDescent="0.25">
      <c r="A455" s="4" t="s">
        <v>491</v>
      </c>
      <c r="B455">
        <v>42.061337999999999</v>
      </c>
      <c r="C455">
        <v>-71.245801999999998</v>
      </c>
    </row>
    <row r="456" spans="1:3" x14ac:dyDescent="0.25">
      <c r="A456" s="4" t="s">
        <v>492</v>
      </c>
      <c r="B456">
        <v>42.084857999999997</v>
      </c>
      <c r="C456">
        <v>-71.410571000000004</v>
      </c>
    </row>
    <row r="457" spans="1:3" x14ac:dyDescent="0.25">
      <c r="A457" s="4" t="s">
        <v>493</v>
      </c>
      <c r="B457">
        <v>42.216098000000002</v>
      </c>
      <c r="C457">
        <v>-70.881270000000001</v>
      </c>
    </row>
    <row r="458" spans="1:3" x14ac:dyDescent="0.25">
      <c r="A458" s="4" t="s">
        <v>494</v>
      </c>
      <c r="B458">
        <v>42.292253000000002</v>
      </c>
      <c r="C458">
        <v>-70.923918999999998</v>
      </c>
    </row>
    <row r="459" spans="1:3" x14ac:dyDescent="0.25">
      <c r="A459" s="4" t="s">
        <v>495</v>
      </c>
      <c r="B459">
        <v>42.133913999999997</v>
      </c>
      <c r="C459">
        <v>-70.686036999999999</v>
      </c>
    </row>
    <row r="460" spans="1:3" x14ac:dyDescent="0.25">
      <c r="A460" s="4" t="s">
        <v>496</v>
      </c>
      <c r="B460">
        <v>42.017302000000001</v>
      </c>
      <c r="C460">
        <v>-71.216409999999996</v>
      </c>
    </row>
    <row r="461" spans="1:3" x14ac:dyDescent="0.25">
      <c r="A461" s="4" t="s">
        <v>497</v>
      </c>
      <c r="B461">
        <v>42.115138999999999</v>
      </c>
      <c r="C461">
        <v>-70.710330999999996</v>
      </c>
    </row>
    <row r="462" spans="1:3" x14ac:dyDescent="0.25">
      <c r="A462" s="4" t="s">
        <v>498</v>
      </c>
      <c r="B462">
        <v>42.184598999999999</v>
      </c>
      <c r="C462">
        <v>-71.305306999999999</v>
      </c>
    </row>
    <row r="463" spans="1:3" x14ac:dyDescent="0.25">
      <c r="A463" s="4" t="s">
        <v>499</v>
      </c>
      <c r="B463">
        <v>42.156202999999998</v>
      </c>
      <c r="C463">
        <v>-71.430345000000003</v>
      </c>
    </row>
    <row r="464" spans="1:3" x14ac:dyDescent="0.25">
      <c r="A464" s="4" t="s">
        <v>500</v>
      </c>
      <c r="B464">
        <v>42.173090999999999</v>
      </c>
      <c r="C464">
        <v>-71.363750999999993</v>
      </c>
    </row>
    <row r="465" spans="1:3" x14ac:dyDescent="0.25">
      <c r="A465" s="4" t="s">
        <v>501</v>
      </c>
      <c r="B465">
        <v>42.113655000000001</v>
      </c>
      <c r="C465">
        <v>-71.334163000000004</v>
      </c>
    </row>
    <row r="466" spans="1:3" x14ac:dyDescent="0.25">
      <c r="A466" s="4" t="s">
        <v>502</v>
      </c>
      <c r="B466">
        <v>42.164569</v>
      </c>
      <c r="C466">
        <v>-70.818843999999999</v>
      </c>
    </row>
    <row r="467" spans="1:3" x14ac:dyDescent="0.25">
      <c r="A467" s="4" t="s">
        <v>503</v>
      </c>
      <c r="B467">
        <v>42.187359999999998</v>
      </c>
      <c r="C467">
        <v>-71.195954999999998</v>
      </c>
    </row>
    <row r="468" spans="1:3" x14ac:dyDescent="0.25">
      <c r="A468" s="4" t="s">
        <v>504</v>
      </c>
      <c r="B468">
        <v>42.202272999999998</v>
      </c>
      <c r="C468">
        <v>-70.758184</v>
      </c>
    </row>
    <row r="469" spans="1:3" x14ac:dyDescent="0.25">
      <c r="A469" s="4" t="s">
        <v>505</v>
      </c>
      <c r="B469">
        <v>42.107599999999998</v>
      </c>
      <c r="C469">
        <v>-71.181827999999996</v>
      </c>
    </row>
    <row r="470" spans="1:3" x14ac:dyDescent="0.25">
      <c r="A470" s="4" t="s">
        <v>506</v>
      </c>
      <c r="B470">
        <v>42.103425000000001</v>
      </c>
      <c r="C470">
        <v>-71.273589000000001</v>
      </c>
    </row>
    <row r="471" spans="1:3" x14ac:dyDescent="0.25">
      <c r="A471" s="4" t="s">
        <v>507</v>
      </c>
      <c r="B471">
        <v>42.119005999999999</v>
      </c>
      <c r="C471">
        <v>-71.103650000000002</v>
      </c>
    </row>
    <row r="472" spans="1:3" x14ac:dyDescent="0.25">
      <c r="A472" s="4" t="s">
        <v>508</v>
      </c>
      <c r="B472">
        <v>42.146693999999997</v>
      </c>
      <c r="C472">
        <v>-71.270532000000003</v>
      </c>
    </row>
    <row r="473" spans="1:3" x14ac:dyDescent="0.25">
      <c r="A473" s="4" t="s">
        <v>509</v>
      </c>
      <c r="B473">
        <v>42.219645</v>
      </c>
      <c r="C473">
        <v>-71.216768999999999</v>
      </c>
    </row>
    <row r="474" spans="1:3" x14ac:dyDescent="0.25">
      <c r="A474" s="4" t="s">
        <v>510</v>
      </c>
      <c r="B474">
        <v>42.052670999999997</v>
      </c>
      <c r="C474">
        <v>-71.356858000000003</v>
      </c>
    </row>
    <row r="475" spans="1:3" x14ac:dyDescent="0.25">
      <c r="A475" s="4" t="s">
        <v>511</v>
      </c>
      <c r="B475">
        <v>42.357768</v>
      </c>
      <c r="C475">
        <v>-71.064858000000001</v>
      </c>
    </row>
    <row r="476" spans="1:3" x14ac:dyDescent="0.25">
      <c r="A476" s="4" t="s">
        <v>512</v>
      </c>
      <c r="B476">
        <v>42.367032000000002</v>
      </c>
      <c r="C476">
        <v>-71.050493000000003</v>
      </c>
    </row>
    <row r="477" spans="1:3" x14ac:dyDescent="0.25">
      <c r="A477" s="4" t="s">
        <v>513</v>
      </c>
      <c r="B477">
        <v>42.361961999999998</v>
      </c>
      <c r="C477">
        <v>-71.047846000000007</v>
      </c>
    </row>
    <row r="478" spans="1:3" x14ac:dyDescent="0.25">
      <c r="A478" s="4" t="s">
        <v>514</v>
      </c>
      <c r="B478">
        <v>42.350518000000001</v>
      </c>
      <c r="C478">
        <v>-71.059077000000002</v>
      </c>
    </row>
    <row r="479" spans="1:3" x14ac:dyDescent="0.25">
      <c r="A479" s="4" t="s">
        <v>515</v>
      </c>
      <c r="B479">
        <v>42.365330999999998</v>
      </c>
      <c r="C479">
        <v>-71.055233000000001</v>
      </c>
    </row>
    <row r="480" spans="1:3" x14ac:dyDescent="0.25">
      <c r="A480" s="4" t="s">
        <v>516</v>
      </c>
      <c r="B480">
        <v>42.363174000000001</v>
      </c>
      <c r="C480">
        <v>-71.068646000000001</v>
      </c>
    </row>
    <row r="481" spans="1:3" x14ac:dyDescent="0.25">
      <c r="A481" s="4" t="s">
        <v>517</v>
      </c>
      <c r="B481">
        <v>42.337105000000001</v>
      </c>
      <c r="C481">
        <v>-71.105695999999995</v>
      </c>
    </row>
    <row r="482" spans="1:3" x14ac:dyDescent="0.25">
      <c r="A482" s="4" t="s">
        <v>518</v>
      </c>
      <c r="B482">
        <v>42.350579000000003</v>
      </c>
      <c r="C482">
        <v>-71.076397</v>
      </c>
    </row>
    <row r="483" spans="1:3" x14ac:dyDescent="0.25">
      <c r="A483" s="4" t="s">
        <v>519</v>
      </c>
      <c r="B483">
        <v>42.337581999999998</v>
      </c>
      <c r="C483">
        <v>-71.070481999999998</v>
      </c>
    </row>
    <row r="484" spans="1:3" x14ac:dyDescent="0.25">
      <c r="A484" s="4" t="s">
        <v>520</v>
      </c>
      <c r="B484">
        <v>42.324029000000003</v>
      </c>
      <c r="C484">
        <v>-71.085016999999993</v>
      </c>
    </row>
    <row r="485" spans="1:3" x14ac:dyDescent="0.25">
      <c r="A485" s="4" t="s">
        <v>521</v>
      </c>
      <c r="B485">
        <v>42.332090000000001</v>
      </c>
      <c r="C485">
        <v>-71.096545000000006</v>
      </c>
    </row>
    <row r="486" spans="1:3" x14ac:dyDescent="0.25">
      <c r="A486" s="4" t="s">
        <v>522</v>
      </c>
      <c r="B486">
        <v>42.306266999999998</v>
      </c>
      <c r="C486">
        <v>-71.085897000000003</v>
      </c>
    </row>
    <row r="487" spans="1:3" x14ac:dyDescent="0.25">
      <c r="A487" s="4" t="s">
        <v>523</v>
      </c>
      <c r="B487">
        <v>42.291412999999999</v>
      </c>
      <c r="C487">
        <v>-71.042158000000001</v>
      </c>
    </row>
    <row r="488" spans="1:3" x14ac:dyDescent="0.25">
      <c r="A488" s="4" t="s">
        <v>524</v>
      </c>
      <c r="B488">
        <v>42.285805000000003</v>
      </c>
      <c r="C488">
        <v>-71.070571000000001</v>
      </c>
    </row>
    <row r="489" spans="1:3" x14ac:dyDescent="0.25">
      <c r="A489" s="4" t="s">
        <v>525</v>
      </c>
      <c r="B489">
        <v>42.315682000000002</v>
      </c>
      <c r="C489">
        <v>-71.055554999999998</v>
      </c>
    </row>
    <row r="490" spans="1:3" x14ac:dyDescent="0.25">
      <c r="A490" s="4" t="s">
        <v>526</v>
      </c>
      <c r="B490">
        <v>42.274227000000003</v>
      </c>
      <c r="C490">
        <v>-71.097423000000006</v>
      </c>
    </row>
    <row r="491" spans="1:3" x14ac:dyDescent="0.25">
      <c r="A491" s="4" t="s">
        <v>527</v>
      </c>
      <c r="B491">
        <v>42.334992</v>
      </c>
      <c r="C491">
        <v>-71.039092999999994</v>
      </c>
    </row>
    <row r="492" spans="1:3" x14ac:dyDescent="0.25">
      <c r="A492" s="4" t="s">
        <v>528</v>
      </c>
      <c r="B492">
        <v>42.361128999999998</v>
      </c>
      <c r="C492">
        <v>-71.006974999999997</v>
      </c>
    </row>
    <row r="493" spans="1:3" x14ac:dyDescent="0.25">
      <c r="A493" s="4" t="s">
        <v>529</v>
      </c>
      <c r="B493">
        <v>42.379657000000002</v>
      </c>
      <c r="C493">
        <v>-71.061487</v>
      </c>
    </row>
    <row r="494" spans="1:3" x14ac:dyDescent="0.25">
      <c r="A494" s="4" t="s">
        <v>530</v>
      </c>
      <c r="B494">
        <v>42.309173999999999</v>
      </c>
      <c r="C494">
        <v>-71.113834999999995</v>
      </c>
    </row>
    <row r="495" spans="1:3" x14ac:dyDescent="0.25">
      <c r="A495" s="4" t="s">
        <v>531</v>
      </c>
      <c r="B495">
        <v>42.284332999999997</v>
      </c>
      <c r="C495">
        <v>-71.126227999999998</v>
      </c>
    </row>
    <row r="496" spans="1:3" x14ac:dyDescent="0.25">
      <c r="A496" s="4" t="s">
        <v>532</v>
      </c>
      <c r="B496">
        <v>42.280455000000003</v>
      </c>
      <c r="C496">
        <v>-71.162017000000006</v>
      </c>
    </row>
    <row r="497" spans="1:3" x14ac:dyDescent="0.25">
      <c r="A497" s="4" t="s">
        <v>533</v>
      </c>
      <c r="B497">
        <v>42.358015999999999</v>
      </c>
      <c r="C497">
        <v>-71.128608</v>
      </c>
    </row>
    <row r="498" spans="1:3" x14ac:dyDescent="0.25">
      <c r="A498" s="4" t="s">
        <v>534</v>
      </c>
      <c r="B498">
        <v>42.349688</v>
      </c>
      <c r="C498">
        <v>-71.153964000000002</v>
      </c>
    </row>
    <row r="499" spans="1:3" x14ac:dyDescent="0.25">
      <c r="A499" s="4" t="s">
        <v>535</v>
      </c>
      <c r="B499">
        <v>42.255082999999999</v>
      </c>
      <c r="C499">
        <v>-71.129220000000004</v>
      </c>
    </row>
    <row r="500" spans="1:3" x14ac:dyDescent="0.25">
      <c r="A500" s="4" t="s">
        <v>536</v>
      </c>
      <c r="B500">
        <v>42.379637000000002</v>
      </c>
      <c r="C500">
        <v>-71.135152000000005</v>
      </c>
    </row>
    <row r="501" spans="1:3" x14ac:dyDescent="0.25">
      <c r="A501" s="4" t="s">
        <v>537</v>
      </c>
      <c r="B501">
        <v>42.362985999999999</v>
      </c>
      <c r="C501">
        <v>-71.103352999999998</v>
      </c>
    </row>
    <row r="502" spans="1:3" x14ac:dyDescent="0.25">
      <c r="A502" s="4" t="s">
        <v>538</v>
      </c>
      <c r="B502">
        <v>42.392156999999997</v>
      </c>
      <c r="C502">
        <v>-71.133995999999996</v>
      </c>
    </row>
    <row r="503" spans="1:3" x14ac:dyDescent="0.25">
      <c r="A503" s="4" t="s">
        <v>539</v>
      </c>
      <c r="B503">
        <v>42.3703</v>
      </c>
      <c r="C503">
        <v>-71.082560000000001</v>
      </c>
    </row>
    <row r="504" spans="1:3" x14ac:dyDescent="0.25">
      <c r="A504" s="4" t="s">
        <v>540</v>
      </c>
      <c r="B504">
        <v>42.361471000000002</v>
      </c>
      <c r="C504">
        <v>-71.081993999999995</v>
      </c>
    </row>
    <row r="505" spans="1:3" x14ac:dyDescent="0.25">
      <c r="A505" s="4" t="s">
        <v>541</v>
      </c>
      <c r="B505">
        <v>42.381408999999998</v>
      </c>
      <c r="C505">
        <v>-71.096714000000006</v>
      </c>
    </row>
    <row r="506" spans="1:3" x14ac:dyDescent="0.25">
      <c r="A506" s="4" t="s">
        <v>542</v>
      </c>
      <c r="B506">
        <v>42.399655000000003</v>
      </c>
      <c r="C506">
        <v>-71.122550000000004</v>
      </c>
    </row>
    <row r="507" spans="1:3" x14ac:dyDescent="0.25">
      <c r="A507" s="4" t="s">
        <v>543</v>
      </c>
      <c r="B507">
        <v>42.391576999999998</v>
      </c>
      <c r="C507">
        <v>-71.089910000000003</v>
      </c>
    </row>
    <row r="508" spans="1:3" x14ac:dyDescent="0.25">
      <c r="A508" s="4" t="s">
        <v>544</v>
      </c>
      <c r="B508">
        <v>42.429380000000002</v>
      </c>
      <c r="C508">
        <v>-71.058706000000001</v>
      </c>
    </row>
    <row r="509" spans="1:3" x14ac:dyDescent="0.25">
      <c r="A509" s="4" t="s">
        <v>545</v>
      </c>
      <c r="B509">
        <v>42.405937999999999</v>
      </c>
      <c r="C509">
        <v>-71.054648999999998</v>
      </c>
    </row>
    <row r="510" spans="1:3" x14ac:dyDescent="0.25">
      <c r="A510" s="4" t="s">
        <v>546</v>
      </c>
      <c r="B510">
        <v>42.396824000000002</v>
      </c>
      <c r="C510">
        <v>-71.031347999999994</v>
      </c>
    </row>
    <row r="511" spans="1:3" x14ac:dyDescent="0.25">
      <c r="A511" s="4" t="s">
        <v>547</v>
      </c>
      <c r="B511">
        <v>42.418289999999999</v>
      </c>
      <c r="C511">
        <v>-71.001250999999996</v>
      </c>
    </row>
    <row r="512" spans="1:3" x14ac:dyDescent="0.25">
      <c r="A512" s="4" t="s">
        <v>548</v>
      </c>
      <c r="B512">
        <v>42.373055000000001</v>
      </c>
      <c r="C512">
        <v>-70.974806999999998</v>
      </c>
    </row>
    <row r="513" spans="1:3" x14ac:dyDescent="0.25">
      <c r="A513" s="4" t="s">
        <v>549</v>
      </c>
      <c r="B513">
        <v>42.423839999999998</v>
      </c>
      <c r="C513">
        <v>-71.107673000000005</v>
      </c>
    </row>
    <row r="514" spans="1:3" x14ac:dyDescent="0.25">
      <c r="A514" s="4" t="s">
        <v>550</v>
      </c>
      <c r="B514">
        <v>42.366168000000002</v>
      </c>
      <c r="C514">
        <v>-71.12285</v>
      </c>
    </row>
    <row r="515" spans="1:3" x14ac:dyDescent="0.25">
      <c r="A515" s="4" t="s">
        <v>551</v>
      </c>
      <c r="B515">
        <v>42.248386000000004</v>
      </c>
      <c r="C515">
        <v>-71.002279000000001</v>
      </c>
    </row>
    <row r="516" spans="1:3" x14ac:dyDescent="0.25">
      <c r="A516" s="4" t="s">
        <v>552</v>
      </c>
      <c r="B516">
        <v>42.266415000000002</v>
      </c>
      <c r="C516">
        <v>-71.015575999999996</v>
      </c>
    </row>
    <row r="517" spans="1:3" x14ac:dyDescent="0.25">
      <c r="A517" s="4" t="s">
        <v>553</v>
      </c>
      <c r="B517">
        <v>42.293309999999998</v>
      </c>
      <c r="C517">
        <v>-71.018208000000001</v>
      </c>
    </row>
    <row r="518" spans="1:3" x14ac:dyDescent="0.25">
      <c r="A518" s="4" t="s">
        <v>554</v>
      </c>
      <c r="B518">
        <v>42.455722999999999</v>
      </c>
      <c r="C518">
        <v>-71.059019000000006</v>
      </c>
    </row>
    <row r="519" spans="1:3" x14ac:dyDescent="0.25">
      <c r="A519" s="4" t="s">
        <v>555</v>
      </c>
      <c r="B519">
        <v>42.474207999999997</v>
      </c>
      <c r="C519">
        <v>-71.097665000000006</v>
      </c>
    </row>
    <row r="520" spans="1:3" x14ac:dyDescent="0.25">
      <c r="A520" s="4" t="s">
        <v>556</v>
      </c>
      <c r="B520">
        <v>42.206187999999997</v>
      </c>
      <c r="C520">
        <v>-71.002319999999997</v>
      </c>
    </row>
    <row r="521" spans="1:3" x14ac:dyDescent="0.25">
      <c r="A521" s="4" t="s">
        <v>557</v>
      </c>
      <c r="B521">
        <v>42.241557</v>
      </c>
      <c r="C521">
        <v>-71.082431999999997</v>
      </c>
    </row>
    <row r="522" spans="1:3" x14ac:dyDescent="0.25">
      <c r="A522" s="4" t="s">
        <v>558</v>
      </c>
      <c r="B522">
        <v>42.204577999999998</v>
      </c>
      <c r="C522">
        <v>-70.957749000000007</v>
      </c>
    </row>
    <row r="523" spans="1:3" x14ac:dyDescent="0.25">
      <c r="A523" s="4" t="s">
        <v>559</v>
      </c>
      <c r="B523">
        <v>42.209775999999998</v>
      </c>
      <c r="C523">
        <v>-70.928189000000003</v>
      </c>
    </row>
    <row r="524" spans="1:3" x14ac:dyDescent="0.25">
      <c r="A524" s="4" t="s">
        <v>560</v>
      </c>
      <c r="B524">
        <v>42.166730999999999</v>
      </c>
      <c r="C524">
        <v>-70.952363000000005</v>
      </c>
    </row>
    <row r="525" spans="1:3" x14ac:dyDescent="0.25">
      <c r="A525" s="4" t="s">
        <v>561</v>
      </c>
      <c r="B525">
        <v>42.243453000000002</v>
      </c>
      <c r="C525">
        <v>-70.942032999999995</v>
      </c>
    </row>
    <row r="526" spans="1:3" x14ac:dyDescent="0.25">
      <c r="A526" s="4" t="s">
        <v>562</v>
      </c>
      <c r="B526">
        <v>42.347476</v>
      </c>
      <c r="C526">
        <v>-71.082035000000005</v>
      </c>
    </row>
    <row r="527" spans="1:3" x14ac:dyDescent="0.25">
      <c r="A527" s="4" t="s">
        <v>563</v>
      </c>
      <c r="B527">
        <v>42.360598000000003</v>
      </c>
      <c r="C527">
        <v>-71.058774999999997</v>
      </c>
    </row>
    <row r="528" spans="1:3" x14ac:dyDescent="0.25">
      <c r="A528" s="4" t="s">
        <v>564</v>
      </c>
      <c r="B528">
        <v>42.347472000000003</v>
      </c>
      <c r="C528">
        <v>-71.039270999999999</v>
      </c>
    </row>
    <row r="529" spans="1:3" x14ac:dyDescent="0.25">
      <c r="A529" s="4" t="s">
        <v>565</v>
      </c>
      <c r="B529">
        <v>42.347634999999997</v>
      </c>
      <c r="C529">
        <v>-71.103082000000001</v>
      </c>
    </row>
    <row r="530" spans="1:3" x14ac:dyDescent="0.25">
      <c r="A530" s="4" t="s">
        <v>566</v>
      </c>
      <c r="B530">
        <v>42.078370999999997</v>
      </c>
      <c r="C530">
        <v>-71.042304000000001</v>
      </c>
    </row>
    <row r="531" spans="1:3" x14ac:dyDescent="0.25">
      <c r="A531" s="4" t="s">
        <v>567</v>
      </c>
      <c r="B531">
        <v>42.088906999999999</v>
      </c>
      <c r="C531">
        <v>-70.998374999999996</v>
      </c>
    </row>
    <row r="532" spans="1:3" x14ac:dyDescent="0.25">
      <c r="A532" s="4" t="s">
        <v>568</v>
      </c>
      <c r="B532">
        <v>42.132460000000002</v>
      </c>
      <c r="C532">
        <v>-71.054012999999998</v>
      </c>
    </row>
    <row r="533" spans="1:3" x14ac:dyDescent="0.25">
      <c r="A533" s="4" t="s">
        <v>569</v>
      </c>
      <c r="B533">
        <v>41.972386999999998</v>
      </c>
      <c r="C533">
        <v>-70.978778000000005</v>
      </c>
    </row>
    <row r="534" spans="1:3" x14ac:dyDescent="0.25">
      <c r="A534" s="4" t="s">
        <v>570</v>
      </c>
      <c r="B534">
        <v>41.878644000000001</v>
      </c>
      <c r="C534">
        <v>-70.743198000000007</v>
      </c>
    </row>
    <row r="535" spans="1:3" x14ac:dyDescent="0.25">
      <c r="A535" s="4" t="s">
        <v>571</v>
      </c>
      <c r="B535">
        <v>42.044325000000001</v>
      </c>
      <c r="C535">
        <v>-70.706074999999998</v>
      </c>
    </row>
    <row r="536" spans="1:3" x14ac:dyDescent="0.25">
      <c r="A536" s="4" t="s">
        <v>572</v>
      </c>
      <c r="B536">
        <v>42.037278000000001</v>
      </c>
      <c r="C536">
        <v>-70.940459000000004</v>
      </c>
    </row>
    <row r="537" spans="1:3" x14ac:dyDescent="0.25">
      <c r="A537" s="4" t="s">
        <v>573</v>
      </c>
      <c r="B537">
        <v>42.002811000000001</v>
      </c>
      <c r="C537">
        <v>-70.863472999999999</v>
      </c>
    </row>
    <row r="538" spans="1:3" x14ac:dyDescent="0.25">
      <c r="A538" s="4" t="s">
        <v>574</v>
      </c>
      <c r="B538">
        <v>42.122956000000002</v>
      </c>
      <c r="C538">
        <v>-70.856309999999993</v>
      </c>
    </row>
    <row r="539" spans="1:3" x14ac:dyDescent="0.25">
      <c r="A539" s="4" t="s">
        <v>575</v>
      </c>
      <c r="B539">
        <v>42.050463999999998</v>
      </c>
      <c r="C539">
        <v>-70.867418000000001</v>
      </c>
    </row>
    <row r="540" spans="1:3" x14ac:dyDescent="0.25">
      <c r="A540" s="4" t="s">
        <v>576</v>
      </c>
      <c r="B540">
        <v>42.140244000000003</v>
      </c>
      <c r="C540">
        <v>-70.997347000000005</v>
      </c>
    </row>
    <row r="541" spans="1:3" x14ac:dyDescent="0.25">
      <c r="A541" s="4" t="s">
        <v>577</v>
      </c>
      <c r="B541">
        <v>41.878003999999997</v>
      </c>
      <c r="C541">
        <v>-70.869266999999994</v>
      </c>
    </row>
    <row r="542" spans="1:3" x14ac:dyDescent="0.25">
      <c r="A542" s="4" t="s">
        <v>578</v>
      </c>
      <c r="B542">
        <v>41.834412</v>
      </c>
      <c r="C542">
        <v>-70.957162999999994</v>
      </c>
    </row>
    <row r="543" spans="1:3" x14ac:dyDescent="0.25">
      <c r="A543" s="4" t="s">
        <v>579</v>
      </c>
      <c r="B543">
        <v>42.119964000000003</v>
      </c>
      <c r="C543">
        <v>-70.957216000000003</v>
      </c>
    </row>
    <row r="544" spans="1:3" x14ac:dyDescent="0.25">
      <c r="A544" s="4" t="s">
        <v>580</v>
      </c>
      <c r="B544">
        <v>42.060532000000002</v>
      </c>
      <c r="C544">
        <v>-71.119675999999998</v>
      </c>
    </row>
    <row r="545" spans="1:3" x14ac:dyDescent="0.25">
      <c r="A545" s="4" t="s">
        <v>581</v>
      </c>
      <c r="B545">
        <v>42.054977999999998</v>
      </c>
      <c r="C545">
        <v>-71.080651000000003</v>
      </c>
    </row>
    <row r="546" spans="1:3" x14ac:dyDescent="0.25">
      <c r="A546" s="4" t="s">
        <v>582</v>
      </c>
      <c r="B546">
        <v>42.067804000000002</v>
      </c>
      <c r="C546">
        <v>-70.805712999999997</v>
      </c>
    </row>
    <row r="547" spans="1:3" x14ac:dyDescent="0.25">
      <c r="A547" s="4" t="s">
        <v>583</v>
      </c>
      <c r="B547">
        <v>41.882055999999999</v>
      </c>
      <c r="C547">
        <v>-70.631290000000007</v>
      </c>
    </row>
    <row r="548" spans="1:3" x14ac:dyDescent="0.25">
      <c r="A548" s="4" t="s">
        <v>584</v>
      </c>
      <c r="B548">
        <v>41.987195999999997</v>
      </c>
      <c r="C548">
        <v>-70.741941999999995</v>
      </c>
    </row>
    <row r="549" spans="1:3" x14ac:dyDescent="0.25">
      <c r="A549" s="4" t="s">
        <v>585</v>
      </c>
      <c r="B549">
        <v>41.850983999999997</v>
      </c>
      <c r="C549">
        <v>-70.654983999999999</v>
      </c>
    </row>
    <row r="550" spans="1:3" x14ac:dyDescent="0.25">
      <c r="A550" s="4" t="s">
        <v>586</v>
      </c>
      <c r="B550">
        <v>41.959099999999999</v>
      </c>
      <c r="C550">
        <v>-70.802752999999996</v>
      </c>
    </row>
    <row r="551" spans="1:3" x14ac:dyDescent="0.25">
      <c r="A551" s="4" t="s">
        <v>587</v>
      </c>
      <c r="B551">
        <v>42.176445999999999</v>
      </c>
      <c r="C551">
        <v>-71.051567000000006</v>
      </c>
    </row>
    <row r="552" spans="1:3" x14ac:dyDescent="0.25">
      <c r="A552" s="4" t="s">
        <v>588</v>
      </c>
      <c r="B552">
        <v>42.130398999999997</v>
      </c>
      <c r="C552">
        <v>-70.910615000000007</v>
      </c>
    </row>
    <row r="553" spans="1:3" x14ac:dyDescent="0.25">
      <c r="A553" s="4" t="s">
        <v>589</v>
      </c>
      <c r="B553">
        <v>42.003041000000003</v>
      </c>
      <c r="C553">
        <v>-71.076927999999995</v>
      </c>
    </row>
    <row r="554" spans="1:3" x14ac:dyDescent="0.25">
      <c r="A554" s="4" t="s">
        <v>590</v>
      </c>
      <c r="B554">
        <v>42.021616999999999</v>
      </c>
      <c r="C554">
        <v>-71.026717000000005</v>
      </c>
    </row>
    <row r="555" spans="1:3" x14ac:dyDescent="0.25">
      <c r="A555" s="4" t="s">
        <v>591</v>
      </c>
      <c r="B555">
        <v>42.078974000000002</v>
      </c>
      <c r="C555">
        <v>-70.939390000000003</v>
      </c>
    </row>
    <row r="556" spans="1:3" x14ac:dyDescent="0.25">
      <c r="A556" s="4" t="s">
        <v>592</v>
      </c>
      <c r="B556">
        <v>42.457054999999997</v>
      </c>
      <c r="C556">
        <v>-71.215463999999997</v>
      </c>
    </row>
    <row r="557" spans="1:3" x14ac:dyDescent="0.25">
      <c r="A557" s="4" t="s">
        <v>593</v>
      </c>
      <c r="B557">
        <v>42.438547</v>
      </c>
      <c r="C557">
        <v>-71.239572999999993</v>
      </c>
    </row>
    <row r="558" spans="1:3" x14ac:dyDescent="0.25">
      <c r="A558" s="4" t="s">
        <v>594</v>
      </c>
      <c r="B558">
        <v>42.325482999999998</v>
      </c>
      <c r="C558">
        <v>-71.135045000000005</v>
      </c>
    </row>
    <row r="559" spans="1:3" x14ac:dyDescent="0.25">
      <c r="A559" s="4" t="s">
        <v>595</v>
      </c>
      <c r="B559">
        <v>42.343502999999998</v>
      </c>
      <c r="C559">
        <v>-71.122247999999999</v>
      </c>
    </row>
    <row r="560" spans="1:3" x14ac:dyDescent="0.25">
      <c r="A560" s="4" t="s">
        <v>596</v>
      </c>
      <c r="B560">
        <v>42.397823000000002</v>
      </c>
      <c r="C560">
        <v>-71.255707999999998</v>
      </c>
    </row>
    <row r="561" spans="1:3" x14ac:dyDescent="0.25">
      <c r="A561" s="4" t="s">
        <v>597</v>
      </c>
      <c r="B561">
        <v>42.392721000000002</v>
      </c>
      <c r="C561">
        <v>-71.213532000000001</v>
      </c>
    </row>
    <row r="562" spans="1:3" x14ac:dyDescent="0.25">
      <c r="A562" s="4" t="s">
        <v>598</v>
      </c>
      <c r="B562">
        <v>42.369542000000003</v>
      </c>
      <c r="C562">
        <v>-71.240513000000007</v>
      </c>
    </row>
    <row r="563" spans="1:3" x14ac:dyDescent="0.25">
      <c r="A563" s="4" t="s">
        <v>599</v>
      </c>
      <c r="B563">
        <v>42.299388</v>
      </c>
      <c r="C563">
        <v>-71.274242000000001</v>
      </c>
    </row>
    <row r="564" spans="1:3" x14ac:dyDescent="0.25">
      <c r="A564" s="4" t="s">
        <v>600</v>
      </c>
      <c r="B564">
        <v>42.353585000000002</v>
      </c>
      <c r="C564">
        <v>-71.188192000000001</v>
      </c>
    </row>
    <row r="565" spans="1:3" x14ac:dyDescent="0.25">
      <c r="A565" s="4" t="s">
        <v>601</v>
      </c>
      <c r="B565">
        <v>42.314779000000001</v>
      </c>
      <c r="C565">
        <v>-71.192017000000007</v>
      </c>
    </row>
    <row r="566" spans="1:3" x14ac:dyDescent="0.25">
      <c r="A566" s="4" t="s">
        <v>602</v>
      </c>
      <c r="B566">
        <v>42.351824000000001</v>
      </c>
      <c r="C566">
        <v>-71.208489999999998</v>
      </c>
    </row>
    <row r="567" spans="1:3" x14ac:dyDescent="0.25">
      <c r="A567" s="4" t="s">
        <v>603</v>
      </c>
      <c r="B567">
        <v>42.317362000000003</v>
      </c>
      <c r="C567">
        <v>-71.206507999999999</v>
      </c>
    </row>
    <row r="568" spans="1:3" x14ac:dyDescent="0.25">
      <c r="A568" s="4" t="s">
        <v>604</v>
      </c>
      <c r="B568">
        <v>42.328707999999999</v>
      </c>
      <c r="C568">
        <v>-71.255899999999997</v>
      </c>
    </row>
    <row r="569" spans="1:3" x14ac:dyDescent="0.25">
      <c r="A569" s="4" t="s">
        <v>605</v>
      </c>
      <c r="B569">
        <v>42.312975000000002</v>
      </c>
      <c r="C569">
        <v>-71.218881999999994</v>
      </c>
    </row>
    <row r="570" spans="1:3" x14ac:dyDescent="0.25">
      <c r="A570" s="4" t="s">
        <v>606</v>
      </c>
      <c r="B570">
        <v>42.348911999999999</v>
      </c>
      <c r="C570">
        <v>-71.226330000000004</v>
      </c>
    </row>
    <row r="571" spans="1:3" x14ac:dyDescent="0.25">
      <c r="A571" s="4" t="s">
        <v>607</v>
      </c>
      <c r="B571">
        <v>42.344456999999998</v>
      </c>
      <c r="C571">
        <v>-71.248616999999996</v>
      </c>
    </row>
    <row r="572" spans="1:3" x14ac:dyDescent="0.25">
      <c r="A572" s="4" t="s">
        <v>608</v>
      </c>
      <c r="B572">
        <v>42.314343999999998</v>
      </c>
      <c r="C572">
        <v>-71.152759000000003</v>
      </c>
    </row>
    <row r="573" spans="1:3" x14ac:dyDescent="0.25">
      <c r="A573" s="4" t="s">
        <v>609</v>
      </c>
      <c r="B573">
        <v>42.328552999999999</v>
      </c>
      <c r="C573">
        <v>-71.229529999999997</v>
      </c>
    </row>
    <row r="574" spans="1:3" x14ac:dyDescent="0.25">
      <c r="A574" s="4" t="s">
        <v>610</v>
      </c>
      <c r="B574">
        <v>42.369450999999998</v>
      </c>
      <c r="C574">
        <v>-71.177925000000002</v>
      </c>
    </row>
    <row r="575" spans="1:3" x14ac:dyDescent="0.25">
      <c r="A575" s="4" t="s">
        <v>611</v>
      </c>
      <c r="B575">
        <v>42.420949</v>
      </c>
      <c r="C575">
        <v>-71.156369999999995</v>
      </c>
    </row>
    <row r="576" spans="1:3" x14ac:dyDescent="0.25">
      <c r="A576" s="4" t="s">
        <v>612</v>
      </c>
      <c r="B576">
        <v>42.415636999999997</v>
      </c>
      <c r="C576">
        <v>-71.175669999999997</v>
      </c>
    </row>
    <row r="577" spans="1:3" x14ac:dyDescent="0.25">
      <c r="A577" s="4" t="s">
        <v>613</v>
      </c>
      <c r="B577">
        <v>42.395316999999999</v>
      </c>
      <c r="C577">
        <v>-71.180284</v>
      </c>
    </row>
    <row r="578" spans="1:3" x14ac:dyDescent="0.25">
      <c r="A578" s="4" t="s">
        <v>614</v>
      </c>
      <c r="B578">
        <v>42.311926999999997</v>
      </c>
      <c r="C578">
        <v>-71.275531000000001</v>
      </c>
    </row>
    <row r="579" spans="1:3" x14ac:dyDescent="0.25">
      <c r="A579" s="4" t="s">
        <v>615</v>
      </c>
      <c r="B579">
        <v>42.293103000000002</v>
      </c>
      <c r="C579">
        <v>-71.298536999999996</v>
      </c>
    </row>
    <row r="580" spans="1:3" x14ac:dyDescent="0.25">
      <c r="A580" s="4" t="s">
        <v>616</v>
      </c>
      <c r="B580">
        <v>42.276029000000001</v>
      </c>
      <c r="C580">
        <v>-71.244542999999993</v>
      </c>
    </row>
    <row r="581" spans="1:3" x14ac:dyDescent="0.25">
      <c r="A581" s="4" t="s">
        <v>617</v>
      </c>
      <c r="B581">
        <v>42.360501999999997</v>
      </c>
      <c r="C581">
        <v>-71.303432999999998</v>
      </c>
    </row>
    <row r="582" spans="1:3" x14ac:dyDescent="0.25">
      <c r="A582" s="4" t="s">
        <v>618</v>
      </c>
      <c r="B582">
        <v>42.299489999999999</v>
      </c>
      <c r="C582">
        <v>-71.232518999999996</v>
      </c>
    </row>
    <row r="583" spans="1:3" x14ac:dyDescent="0.25">
      <c r="A583" s="4" t="s">
        <v>619</v>
      </c>
      <c r="B583">
        <v>41.751759</v>
      </c>
      <c r="C583">
        <v>-70.597551999999993</v>
      </c>
    </row>
    <row r="584" spans="1:3" x14ac:dyDescent="0.25">
      <c r="A584" s="4" t="s">
        <v>620</v>
      </c>
      <c r="B584">
        <v>41.668942000000001</v>
      </c>
      <c r="C584">
        <v>-70.619406999999995</v>
      </c>
    </row>
    <row r="585" spans="1:3" x14ac:dyDescent="0.25">
      <c r="A585" s="4" t="s">
        <v>621</v>
      </c>
      <c r="B585">
        <v>41.337159</v>
      </c>
      <c r="C585">
        <v>-70.761031000000003</v>
      </c>
    </row>
    <row r="586" spans="1:3" x14ac:dyDescent="0.25">
      <c r="A586" s="4" t="s">
        <v>622</v>
      </c>
      <c r="B586">
        <v>41.596305000000001</v>
      </c>
      <c r="C586">
        <v>-70.567466999999994</v>
      </c>
    </row>
    <row r="587" spans="1:3" x14ac:dyDescent="0.25">
      <c r="A587" s="4" t="s">
        <v>623</v>
      </c>
      <c r="B587">
        <v>41.728417999999998</v>
      </c>
      <c r="C587">
        <v>-70.435811999999999</v>
      </c>
    </row>
    <row r="588" spans="1:3" x14ac:dyDescent="0.25">
      <c r="A588" s="4" t="s">
        <v>624</v>
      </c>
      <c r="B588">
        <v>41.777476</v>
      </c>
      <c r="C588">
        <v>-70.642148000000006</v>
      </c>
    </row>
    <row r="589" spans="1:3" x14ac:dyDescent="0.25">
      <c r="A589" s="4" t="s">
        <v>625</v>
      </c>
      <c r="B589">
        <v>41.377654999999997</v>
      </c>
      <c r="C589">
        <v>-70.522080000000003</v>
      </c>
    </row>
    <row r="590" spans="1:3" x14ac:dyDescent="0.25">
      <c r="A590" s="4" t="s">
        <v>626</v>
      </c>
      <c r="B590">
        <v>41.573881</v>
      </c>
      <c r="C590">
        <v>-70.632048999999995</v>
      </c>
    </row>
    <row r="591" spans="1:3" x14ac:dyDescent="0.25">
      <c r="A591" s="4" t="s">
        <v>627</v>
      </c>
      <c r="B591">
        <v>41.707839</v>
      </c>
      <c r="C591">
        <v>-70.545519999999996</v>
      </c>
    </row>
    <row r="592" spans="1:3" x14ac:dyDescent="0.25">
      <c r="A592" s="4" t="s">
        <v>628</v>
      </c>
      <c r="B592">
        <v>41.478974000000001</v>
      </c>
      <c r="C592">
        <v>-70.766910999999993</v>
      </c>
    </row>
    <row r="593" spans="1:3" x14ac:dyDescent="0.25">
      <c r="A593" s="4" t="s">
        <v>629</v>
      </c>
      <c r="B593">
        <v>41.711561000000003</v>
      </c>
      <c r="C593">
        <v>-70.622853000000006</v>
      </c>
    </row>
    <row r="594" spans="1:3" x14ac:dyDescent="0.25">
      <c r="A594" s="4" t="s">
        <v>630</v>
      </c>
      <c r="B594">
        <v>41.291167000000002</v>
      </c>
      <c r="C594">
        <v>-70.092826000000002</v>
      </c>
    </row>
    <row r="595" spans="1:3" x14ac:dyDescent="0.25">
      <c r="A595" s="4" t="s">
        <v>631</v>
      </c>
      <c r="B595">
        <v>41.639445000000002</v>
      </c>
      <c r="C595">
        <v>-70.624515000000002</v>
      </c>
    </row>
    <row r="596" spans="1:3" x14ac:dyDescent="0.25">
      <c r="A596" s="4" t="s">
        <v>632</v>
      </c>
      <c r="B596">
        <v>41.441713</v>
      </c>
      <c r="C596">
        <v>-70.576143000000002</v>
      </c>
    </row>
    <row r="597" spans="1:3" x14ac:dyDescent="0.25">
      <c r="A597" s="4" t="s">
        <v>633</v>
      </c>
      <c r="B597">
        <v>41.745016999999997</v>
      </c>
      <c r="C597">
        <v>-70.653513000000004</v>
      </c>
    </row>
    <row r="598" spans="1:3" x14ac:dyDescent="0.25">
      <c r="A598" s="4" t="s">
        <v>634</v>
      </c>
      <c r="B598">
        <v>41.690243000000002</v>
      </c>
      <c r="C598">
        <v>-70.616282999999996</v>
      </c>
    </row>
    <row r="599" spans="1:3" x14ac:dyDescent="0.25">
      <c r="A599" s="4" t="s">
        <v>635</v>
      </c>
      <c r="B599">
        <v>41.766736999999999</v>
      </c>
      <c r="C599">
        <v>-70.540594999999996</v>
      </c>
    </row>
    <row r="600" spans="1:3" x14ac:dyDescent="0.25">
      <c r="A600" s="4" t="s">
        <v>636</v>
      </c>
      <c r="B600">
        <v>41.787208999999997</v>
      </c>
      <c r="C600">
        <v>-70.526717000000005</v>
      </c>
    </row>
    <row r="601" spans="1:3" x14ac:dyDescent="0.25">
      <c r="A601" s="4" t="s">
        <v>637</v>
      </c>
      <c r="B601">
        <v>41.728136999999997</v>
      </c>
      <c r="C601">
        <v>-70.476549000000006</v>
      </c>
    </row>
    <row r="602" spans="1:3" x14ac:dyDescent="0.25">
      <c r="A602" s="4" t="s">
        <v>638</v>
      </c>
      <c r="B602">
        <v>41.271979000000002</v>
      </c>
      <c r="C602">
        <v>-69.984406000000007</v>
      </c>
    </row>
    <row r="603" spans="1:3" x14ac:dyDescent="0.25">
      <c r="A603" s="4" t="s">
        <v>639</v>
      </c>
      <c r="B603">
        <v>41.458607999999998</v>
      </c>
      <c r="C603">
        <v>-70.613478999999998</v>
      </c>
    </row>
    <row r="604" spans="1:3" x14ac:dyDescent="0.25">
      <c r="A604" s="4" t="s">
        <v>640</v>
      </c>
      <c r="B604">
        <v>41.761187</v>
      </c>
      <c r="C604">
        <v>-70.695991000000006</v>
      </c>
    </row>
    <row r="605" spans="1:3" x14ac:dyDescent="0.25">
      <c r="A605" s="4" t="s">
        <v>641</v>
      </c>
      <c r="B605">
        <v>41.400252000000002</v>
      </c>
      <c r="C605">
        <v>-70.656934000000007</v>
      </c>
    </row>
    <row r="606" spans="1:3" x14ac:dyDescent="0.25">
      <c r="A606" s="4" t="s">
        <v>642</v>
      </c>
      <c r="B606">
        <v>41.772221000000002</v>
      </c>
      <c r="C606">
        <v>-70.762947999999994</v>
      </c>
    </row>
    <row r="607" spans="1:3" x14ac:dyDescent="0.25">
      <c r="A607" s="4" t="s">
        <v>643</v>
      </c>
      <c r="B607">
        <v>41.258687999999999</v>
      </c>
      <c r="C607">
        <v>-70.007142000000002</v>
      </c>
    </row>
    <row r="608" spans="1:3" x14ac:dyDescent="0.25">
      <c r="A608" s="4" t="s">
        <v>644</v>
      </c>
      <c r="B608">
        <v>41.657961</v>
      </c>
      <c r="C608">
        <v>-70.298092999999994</v>
      </c>
    </row>
    <row r="609" spans="1:3" x14ac:dyDescent="0.25">
      <c r="A609" s="4" t="s">
        <v>645</v>
      </c>
      <c r="B609">
        <v>41.706769000000001</v>
      </c>
      <c r="C609">
        <v>-70.312529999999995</v>
      </c>
    </row>
    <row r="610" spans="1:3" x14ac:dyDescent="0.25">
      <c r="A610" s="4" t="s">
        <v>646</v>
      </c>
      <c r="B610">
        <v>41.747512999999998</v>
      </c>
      <c r="C610">
        <v>-70.066222999999994</v>
      </c>
    </row>
    <row r="611" spans="1:3" x14ac:dyDescent="0.25">
      <c r="A611" s="4" t="s">
        <v>647</v>
      </c>
      <c r="B611">
        <v>41.659097000000003</v>
      </c>
      <c r="C611">
        <v>-70.346877000000006</v>
      </c>
    </row>
    <row r="612" spans="1:3" x14ac:dyDescent="0.25">
      <c r="A612" s="4" t="s">
        <v>648</v>
      </c>
      <c r="B612">
        <v>41.689734000000001</v>
      </c>
      <c r="C612">
        <v>-69.972126000000003</v>
      </c>
    </row>
    <row r="613" spans="1:3" x14ac:dyDescent="0.25">
      <c r="A613" s="4" t="s">
        <v>649</v>
      </c>
      <c r="B613">
        <v>41.624054000000001</v>
      </c>
      <c r="C613">
        <v>-70.439397</v>
      </c>
    </row>
    <row r="614" spans="1:3" x14ac:dyDescent="0.25">
      <c r="A614" s="4" t="s">
        <v>650</v>
      </c>
      <c r="B614">
        <v>41.705725999999999</v>
      </c>
      <c r="C614">
        <v>-70.270927999999998</v>
      </c>
    </row>
    <row r="615" spans="1:3" x14ac:dyDescent="0.25">
      <c r="A615" s="4" t="s">
        <v>651</v>
      </c>
      <c r="B615">
        <v>41.730227999999997</v>
      </c>
      <c r="C615">
        <v>-70.197398000000007</v>
      </c>
    </row>
    <row r="616" spans="1:3" x14ac:dyDescent="0.25">
      <c r="A616" s="4" t="s">
        <v>652</v>
      </c>
      <c r="B616">
        <v>41.668067000000001</v>
      </c>
      <c r="C616">
        <v>-70.136978999999997</v>
      </c>
    </row>
    <row r="617" spans="1:3" x14ac:dyDescent="0.25">
      <c r="A617" s="4" t="s">
        <v>653</v>
      </c>
      <c r="B617">
        <v>41.751246000000002</v>
      </c>
      <c r="C617">
        <v>-70.153471999999994</v>
      </c>
    </row>
    <row r="618" spans="1:3" x14ac:dyDescent="0.25">
      <c r="A618" s="4" t="s">
        <v>654</v>
      </c>
      <c r="B618">
        <v>41.841330999999997</v>
      </c>
      <c r="C618">
        <v>-69.977435999999997</v>
      </c>
    </row>
    <row r="619" spans="1:3" x14ac:dyDescent="0.25">
      <c r="A619" s="4" t="s">
        <v>655</v>
      </c>
      <c r="B619">
        <v>41.797777000000004</v>
      </c>
      <c r="C619">
        <v>-69.937326999999996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7"/>
  <sheetViews>
    <sheetView workbookViewId="0">
      <selection sqref="A1:C7"/>
    </sheetView>
  </sheetViews>
  <sheetFormatPr defaultRowHeight="15" x14ac:dyDescent="0.25"/>
  <cols>
    <col min="2" max="2" width="25.42578125" customWidth="1"/>
    <col min="3" max="3" width="17.28515625" customWidth="1"/>
  </cols>
  <sheetData>
    <row r="1" spans="1:5" x14ac:dyDescent="0.25">
      <c r="A1" s="2" t="s">
        <v>656</v>
      </c>
      <c r="B1" s="2" t="s">
        <v>658</v>
      </c>
      <c r="C1" s="3" t="s">
        <v>657</v>
      </c>
      <c r="D1" s="2"/>
      <c r="E1" s="2"/>
    </row>
    <row r="2" spans="1:5" x14ac:dyDescent="0.25">
      <c r="A2" s="4" t="s">
        <v>42</v>
      </c>
      <c r="B2">
        <f ca="1">GetSQLValue("SELECT Top 1 [Lat] FROM [SQLLookupSource$A1:C619] WHERE [Zip] = '" &amp; A2 &amp; "'")</f>
        <v>18.295366000000001</v>
      </c>
      <c r="C2">
        <f ca="1">GetSQLValue("SELECT Top 1 [Lng] FROM [SQLLookupSource$A1:C619] WHERE [Zip] = '" &amp; A2 &amp; "'")</f>
        <v>-67.125135</v>
      </c>
    </row>
    <row r="3" spans="1:5" x14ac:dyDescent="0.25">
      <c r="A3" s="4" t="s">
        <v>43</v>
      </c>
      <c r="B3">
        <f ca="1">GetSQLValue("SELECT Top 1 [Lat] FROM [SQLLookupSource$A1:C619] WHERE [Zip] = '" &amp; A3 &amp; "'")</f>
        <v>18.402253000000002</v>
      </c>
      <c r="C3">
        <f ca="1">GetSQLValue("SELECT Top 1 [Lng] FROM [SQLLookupSource$A1:C619] WHERE [Zip] = '" &amp; A3 &amp; "'")</f>
        <v>-66.711397000000005</v>
      </c>
    </row>
    <row r="4" spans="1:5" x14ac:dyDescent="0.25">
      <c r="A4" s="4" t="s">
        <v>44</v>
      </c>
      <c r="B4">
        <f ca="1">GetSQLValue("SELECT Top 1 [Lat] FROM [SQLLookupSource$A1:C619] WHERE [Zip] = '" &amp; A4 &amp; "'")</f>
        <v>18.420411999999999</v>
      </c>
      <c r="C4">
        <f ca="1">GetSQLValue("SELECT Top 1 [Lng] FROM [SQLLookupSource$A1:C619] WHERE [Zip] = '" &amp; A4 &amp; "'")</f>
        <v>-66.671978999999993</v>
      </c>
    </row>
    <row r="5" spans="1:5" x14ac:dyDescent="0.25">
      <c r="A5" s="4" t="s">
        <v>45</v>
      </c>
      <c r="B5">
        <f ca="1">GetSQLValue("SELECT Top 1 [Lat] FROM [SQLLookupSource$A1:C619] WHERE [Zip] = '" &amp; A5 &amp; "'")</f>
        <v>18.445146999999999</v>
      </c>
      <c r="C5">
        <f ca="1">GetSQLValue("SELECT Top 1 [Lng] FROM [SQLLookupSource$A1:C619] WHERE [Zip] = '" &amp; A5 &amp; "'")</f>
        <v>-66.559696000000002</v>
      </c>
    </row>
    <row r="6" spans="1:5" x14ac:dyDescent="0.25">
      <c r="A6" s="4" t="s">
        <v>46</v>
      </c>
      <c r="B6">
        <f ca="1">GetSQLValue("SELECT Top 1 [Lat] FROM [SQLLookupSource$A1:C619] WHERE [Zip] = '" &amp; A6 &amp; "'")</f>
        <v>17.991244999999999</v>
      </c>
      <c r="C6">
        <f ca="1">GetSQLValue("SELECT Top 1 [Lng] FROM [SQLLookupSource$A1:C619] WHERE [Zip] = '" &amp; A6 &amp; "'")</f>
        <v>-67.153993</v>
      </c>
    </row>
    <row r="7" spans="1:5" x14ac:dyDescent="0.25">
      <c r="A7" s="4" t="s">
        <v>47</v>
      </c>
      <c r="B7">
        <f ca="1">GetSQLValue("SELECT Top 1 [Lat] FROM [SQLLookupSource$A1:C619] WHERE [Zip] = '" &amp; A7 &amp; "'")</f>
        <v>18.083361</v>
      </c>
      <c r="C7">
        <f ca="1">GetSQLValue("SELECT Top 1 [Lng] FROM [SQLLookupSource$A1:C619] WHERE [Zip] = '" &amp; A7 &amp; "'")</f>
        <v>-67.153897000000001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"/>
  <sheetViews>
    <sheetView workbookViewId="0">
      <selection activeCell="G10" sqref="G10"/>
    </sheetView>
  </sheetViews>
  <sheetFormatPr defaultRowHeight="15" x14ac:dyDescent="0.25"/>
  <cols>
    <col min="2" max="2" width="13.5703125" bestFit="1" customWidth="1"/>
    <col min="3" max="3" width="14.140625" bestFit="1" customWidth="1"/>
  </cols>
  <sheetData>
    <row r="1" spans="1:3" x14ac:dyDescent="0.25">
      <c r="A1" s="2" t="s">
        <v>656</v>
      </c>
      <c r="B1" s="2" t="s">
        <v>658</v>
      </c>
      <c r="C1" s="3" t="s">
        <v>657</v>
      </c>
    </row>
    <row r="2" spans="1:3" x14ac:dyDescent="0.25">
      <c r="A2" s="4" t="s">
        <v>42</v>
      </c>
      <c r="B2">
        <f ca="1">SimpleLookup(SQLLookupSource!A:C, "A", SimpleLookupExample!A2, "B")</f>
        <v>18.295366000000001</v>
      </c>
      <c r="C2">
        <f ca="1">SimpleLookup(SQLLookupSource!A:C, "A", A2, "C")</f>
        <v>-67.125135</v>
      </c>
    </row>
    <row r="3" spans="1:3" x14ac:dyDescent="0.25">
      <c r="A3" s="4" t="s">
        <v>43</v>
      </c>
      <c r="B3">
        <f ca="1">SimpleLookup(SQLLookupSource!A:C, "A", SimpleLookupExample!A3, "B")</f>
        <v>18.402253000000002</v>
      </c>
      <c r="C3">
        <f ca="1">SimpleLookup(SQLLookupSource!A:C, "A", A3, "C")</f>
        <v>-66.711397000000005</v>
      </c>
    </row>
    <row r="4" spans="1:3" x14ac:dyDescent="0.25">
      <c r="A4" s="4" t="s">
        <v>44</v>
      </c>
      <c r="B4">
        <f ca="1">SimpleLookup(SQLLookupSource!A:C, "A", SimpleLookupExample!A4, "B")</f>
        <v>18.420411999999999</v>
      </c>
      <c r="C4">
        <f ca="1">SimpleLookup(SQLLookupSource!A:C, "A", A4, "C")</f>
        <v>-66.671978999999993</v>
      </c>
    </row>
    <row r="5" spans="1:3" x14ac:dyDescent="0.25">
      <c r="A5" s="4" t="s">
        <v>45</v>
      </c>
      <c r="B5">
        <f ca="1">SimpleLookup(SQLLookupSource!A:C, "A", SimpleLookupExample!A5, "B")</f>
        <v>18.445146999999999</v>
      </c>
      <c r="C5">
        <f ca="1">SimpleLookup(SQLLookupSource!A:C, "A", A5, "C")</f>
        <v>-66.559696000000002</v>
      </c>
    </row>
    <row r="6" spans="1:3" x14ac:dyDescent="0.25">
      <c r="A6" s="4" t="s">
        <v>46</v>
      </c>
      <c r="B6">
        <f ca="1">SimpleLookup(SQLLookupSource!A:C, "A", SimpleLookupExample!A6, "B")</f>
        <v>17.991244999999999</v>
      </c>
      <c r="C6">
        <f ca="1">SimpleLookup(SQLLookupSource!A:C, "A", A6, "C")</f>
        <v>-67.153993</v>
      </c>
    </row>
    <row r="7" spans="1:3" x14ac:dyDescent="0.25">
      <c r="A7" s="4" t="s">
        <v>47</v>
      </c>
      <c r="B7">
        <f ca="1">SimpleLookup(SQLLookupSource!A:C, "A", SimpleLookupExample!A7, "B")</f>
        <v>18.083361</v>
      </c>
      <c r="C7">
        <f ca="1">SimpleLookup(SQLLookupSource!A:C, "A", A7, "C")</f>
        <v>-67.153897000000001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5"/>
  <sheetViews>
    <sheetView workbookViewId="0">
      <selection activeCell="E17" sqref="E17"/>
    </sheetView>
  </sheetViews>
  <sheetFormatPr defaultRowHeight="15" x14ac:dyDescent="0.25"/>
  <sheetData>
    <row r="1" spans="1:7" x14ac:dyDescent="0.25">
      <c r="A1" t="s">
        <v>2</v>
      </c>
      <c r="B1" t="s">
        <v>3</v>
      </c>
      <c r="C1" t="s">
        <v>659</v>
      </c>
      <c r="D1" t="s">
        <v>660</v>
      </c>
      <c r="E1" t="s">
        <v>4</v>
      </c>
      <c r="F1" t="s">
        <v>5</v>
      </c>
      <c r="G1" t="s">
        <v>19</v>
      </c>
    </row>
    <row r="2" spans="1:7" x14ac:dyDescent="0.25">
      <c r="A2" s="4" t="s">
        <v>51</v>
      </c>
      <c r="B2">
        <v>1</v>
      </c>
      <c r="C2">
        <f ca="1">SimpleLookup(SQLLookupSource!A:C, "A", A2, "B")</f>
        <v>18.076713000000002</v>
      </c>
      <c r="D2">
        <f ca="1">SimpleLookup(SQLLookupSource!A:C, "A", A2, "C")</f>
        <v>-66.947389000000001</v>
      </c>
      <c r="E2">
        <v>11</v>
      </c>
      <c r="F2" t="s">
        <v>9</v>
      </c>
      <c r="G2" t="s">
        <v>21</v>
      </c>
    </row>
    <row r="3" spans="1:7" x14ac:dyDescent="0.25">
      <c r="A3" s="4" t="s">
        <v>52</v>
      </c>
      <c r="B3">
        <v>1</v>
      </c>
      <c r="C3">
        <f ca="1">SimpleLookup(SQLLookupSource!A:C, "A", A3, "B")</f>
        <v>18.295912999999999</v>
      </c>
      <c r="D3">
        <f ca="1">SimpleLookup(SQLLookupSource!A:C, "A", A3, "C")</f>
        <v>-66.515587999999994</v>
      </c>
      <c r="E3">
        <v>11</v>
      </c>
      <c r="F3" t="s">
        <v>9</v>
      </c>
      <c r="G3" t="s">
        <v>25</v>
      </c>
    </row>
    <row r="4" spans="1:7" x14ac:dyDescent="0.25">
      <c r="A4" s="4" t="s">
        <v>53</v>
      </c>
      <c r="B4">
        <v>1</v>
      </c>
      <c r="C4">
        <f ca="1">SimpleLookup(SQLLookupSource!A:C, "A", A4, "B")</f>
        <v>18.263085</v>
      </c>
      <c r="D4">
        <f ca="1">SimpleLookup(SQLLookupSource!A:C, "A", A4, "C")</f>
        <v>-66.712985000000003</v>
      </c>
      <c r="E4">
        <v>22</v>
      </c>
      <c r="F4" t="s">
        <v>9</v>
      </c>
      <c r="G4" t="s">
        <v>21</v>
      </c>
    </row>
    <row r="5" spans="1:7" x14ac:dyDescent="0.25">
      <c r="A5" s="4" t="s">
        <v>54</v>
      </c>
      <c r="B5">
        <v>1</v>
      </c>
      <c r="C5">
        <f ca="1">SimpleLookup(SQLLookupSource!A:C, "A", A5, "B")</f>
        <v>18.433150000000001</v>
      </c>
      <c r="D5">
        <f ca="1">SimpleLookup(SQLLookupSource!A:C, "A", A5, "C")</f>
        <v>-66.285875000000004</v>
      </c>
      <c r="E5">
        <v>22</v>
      </c>
      <c r="F5" t="s">
        <v>9</v>
      </c>
      <c r="G5" t="s">
        <v>25</v>
      </c>
    </row>
    <row r="6" spans="1:7" x14ac:dyDescent="0.25">
      <c r="A6" s="4" t="s">
        <v>55</v>
      </c>
      <c r="B6">
        <v>2</v>
      </c>
      <c r="C6">
        <f ca="1">SimpleLookup(SQLLookupSource!A:C, "A", A6, "B")</f>
        <v>17.963612999999999</v>
      </c>
      <c r="D6">
        <f ca="1">SimpleLookup(SQLLookupSource!A:C, "A", A6, "C")</f>
        <v>-66.947126999999995</v>
      </c>
      <c r="E6">
        <v>11</v>
      </c>
      <c r="F6" t="s">
        <v>10</v>
      </c>
      <c r="G6" t="s">
        <v>21</v>
      </c>
    </row>
    <row r="7" spans="1:7" x14ac:dyDescent="0.25">
      <c r="A7" s="4" t="s">
        <v>56</v>
      </c>
      <c r="B7">
        <v>3</v>
      </c>
      <c r="C7">
        <f ca="1">SimpleLookup(SQLLookupSource!A:C, "A", A7, "B")</f>
        <v>18.349416000000002</v>
      </c>
      <c r="D7">
        <f ca="1">SimpleLookup(SQLLookupSource!A:C, "A", A7, "C")</f>
        <v>-66.578079000000002</v>
      </c>
      <c r="E7">
        <v>1</v>
      </c>
      <c r="F7" t="s">
        <v>11</v>
      </c>
      <c r="G7" t="s">
        <v>22</v>
      </c>
    </row>
    <row r="8" spans="1:7" x14ac:dyDescent="0.25">
      <c r="A8" s="4" t="s">
        <v>57</v>
      </c>
      <c r="B8">
        <v>3</v>
      </c>
      <c r="C8">
        <f ca="1">SimpleLookup(SQLLookupSource!A:C, "A", A8, "B")</f>
        <v>18.448452</v>
      </c>
      <c r="D8">
        <f ca="1">SimpleLookup(SQLLookupSource!A:C, "A", A8, "C")</f>
        <v>-66.594127</v>
      </c>
      <c r="E8">
        <v>2</v>
      </c>
      <c r="F8" t="s">
        <v>11</v>
      </c>
      <c r="G8" t="s">
        <v>22</v>
      </c>
    </row>
    <row r="9" spans="1:7" x14ac:dyDescent="0.25">
      <c r="A9" s="4" t="s">
        <v>58</v>
      </c>
      <c r="B9">
        <v>3</v>
      </c>
      <c r="C9">
        <f ca="1">SimpleLookup(SQLLookupSource!A:C, "A", A9, "B")</f>
        <v>17.985033000000001</v>
      </c>
      <c r="D9">
        <f ca="1">SimpleLookup(SQLLookupSource!A:C, "A", A9, "C")</f>
        <v>-66.886536000000007</v>
      </c>
      <c r="E9">
        <v>3</v>
      </c>
      <c r="F9" t="s">
        <v>11</v>
      </c>
      <c r="G9" t="s">
        <v>22</v>
      </c>
    </row>
    <row r="10" spans="1:7" x14ac:dyDescent="0.25">
      <c r="A10" s="4" t="s">
        <v>59</v>
      </c>
      <c r="B10">
        <v>4</v>
      </c>
      <c r="C10">
        <f ca="1">SimpleLookup(SQLLookupSource!A:C, "A", A10, "B")</f>
        <v>18.053539000000001</v>
      </c>
      <c r="D10">
        <f ca="1">SimpleLookup(SQLLookupSource!A:C, "A", A10, "C")</f>
        <v>-66.792930999999996</v>
      </c>
      <c r="E10">
        <v>1</v>
      </c>
      <c r="F10" t="s">
        <v>12</v>
      </c>
    </row>
    <row r="11" spans="1:7" x14ac:dyDescent="0.25">
      <c r="A11" s="4" t="s">
        <v>60</v>
      </c>
      <c r="B11">
        <v>5</v>
      </c>
      <c r="C11">
        <f ca="1">SimpleLookup(SQLLookupSource!A:C, "A", A11, "B")</f>
        <v>18.407226000000001</v>
      </c>
      <c r="D11">
        <f ca="1">SimpleLookup(SQLLookupSource!A:C, "A", A11, "C")</f>
        <v>-66.808999</v>
      </c>
      <c r="F11" t="s">
        <v>13</v>
      </c>
      <c r="G11" t="s">
        <v>26</v>
      </c>
    </row>
    <row r="12" spans="1:7" x14ac:dyDescent="0.25">
      <c r="A12" s="4" t="s">
        <v>61</v>
      </c>
      <c r="B12">
        <v>5</v>
      </c>
      <c r="C12">
        <f ca="1">SimpleLookup(SQLLookupSource!A:C, "A", A12, "B")</f>
        <v>18.134695000000001</v>
      </c>
      <c r="D12">
        <f ca="1">SimpleLookup(SQLLookupSource!A:C, "A", A12, "C")</f>
        <v>-67.116198999999995</v>
      </c>
      <c r="F12" t="s">
        <v>13</v>
      </c>
      <c r="G12" t="s">
        <v>27</v>
      </c>
    </row>
    <row r="13" spans="1:7" x14ac:dyDescent="0.25">
      <c r="A13" s="4" t="s">
        <v>62</v>
      </c>
      <c r="B13">
        <v>5</v>
      </c>
      <c r="C13">
        <f ca="1">SimpleLookup(SQLLookupSource!A:C, "A", A13, "B")</f>
        <v>18.468319999999999</v>
      </c>
      <c r="D13">
        <f ca="1">SimpleLookup(SQLLookupSource!A:C, "A", A13, "C")</f>
        <v>-67.015781000000004</v>
      </c>
      <c r="F13" t="s">
        <v>13</v>
      </c>
      <c r="G13" t="s">
        <v>28</v>
      </c>
    </row>
    <row r="14" spans="1:7" x14ac:dyDescent="0.25">
      <c r="A14" s="4" t="s">
        <v>63</v>
      </c>
      <c r="B14">
        <v>6</v>
      </c>
      <c r="C14">
        <f ca="1">SimpleLookup(SQLLookupSource!A:C, "A", A14, "B")</f>
        <v>18.210329999999999</v>
      </c>
      <c r="D14">
        <f ca="1">SimpleLookup(SQLLookupSource!A:C, "A", A14, "C")</f>
        <v>-66.591616000000002</v>
      </c>
      <c r="E14">
        <v>8</v>
      </c>
      <c r="F14" t="s">
        <v>17</v>
      </c>
      <c r="G14" t="s">
        <v>24</v>
      </c>
    </row>
    <row r="15" spans="1:7" x14ac:dyDescent="0.25">
      <c r="A15" s="4" t="s">
        <v>64</v>
      </c>
      <c r="B15">
        <v>6</v>
      </c>
      <c r="C15">
        <f ca="1">SimpleLookup(SQLLookupSource!A:C, "A", A15, "B")</f>
        <v>18.003422</v>
      </c>
      <c r="D15">
        <f ca="1">SimpleLookup(SQLLookupSource!A:C, "A", A15, "C")</f>
        <v>-67.035809999999998</v>
      </c>
      <c r="E15">
        <v>9</v>
      </c>
      <c r="F15" t="s">
        <v>17</v>
      </c>
      <c r="G15" t="s">
        <v>24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stInsertColumn">
                <anchor moveWithCells="1" sizeWithCells="1">
                  <from>
                    <xdr:col>9</xdr:col>
                    <xdr:colOff>504825</xdr:colOff>
                    <xdr:row>2</xdr:row>
                    <xdr:rowOff>133350</xdr:rowOff>
                  </from>
                  <to>
                    <xdr:col>12</xdr:col>
                    <xdr:colOff>409575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</vt:lpstr>
      <vt:lpstr>SourceData</vt:lpstr>
      <vt:lpstr>ParsedDataForColC</vt:lpstr>
      <vt:lpstr>ParsedDataFinal</vt:lpstr>
      <vt:lpstr>SQL Example</vt:lpstr>
      <vt:lpstr>Range Function Sample</vt:lpstr>
      <vt:lpstr>SQLLookupSource</vt:lpstr>
      <vt:lpstr>SQLLookupExample</vt:lpstr>
      <vt:lpstr>SimpleLookupExample</vt:lpstr>
      <vt:lpstr>SampleColumnInsert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Redcrosse</dc:creator>
  <cp:lastModifiedBy>redcrosse</cp:lastModifiedBy>
  <dcterms:created xsi:type="dcterms:W3CDTF">2016-08-14T19:56:53Z</dcterms:created>
  <dcterms:modified xsi:type="dcterms:W3CDTF">2016-11-28T04:00:38Z</dcterms:modified>
</cp:coreProperties>
</file>